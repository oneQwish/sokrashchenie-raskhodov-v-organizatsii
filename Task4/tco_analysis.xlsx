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Штат" sheetId="2" state="visible" r:id="rId4"/>
    <sheet name="Раскатка" sheetId="3" state="visible" r:id="rId5"/>
    <sheet name="TCO" sheetId="4" state="visible" r:id="rId6"/>
    <sheet name="Онбординг" sheetId="5" state="visible" r:id="rId7"/>
    <sheet name="ROI" sheetId="6" state="visible" r:id="rId8"/>
    <sheet name="Чувствительность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<sst xmlns="http://schemas.openxmlformats.org/spreadsheetml/2006/main" count="313" uniqueCount="269">
  <si>
    <t xml:space="preserve">VitaStore — TCO: допущения расчёта</t>
  </si>
  <si>
    <t xml:space="preserve">Конкретных затрат в кейсе нет — все значения ниже рыночные оценки. Синие ячейки — входные данные: их можно менять, вся модель пересчитается. Жёлтая заливка — ключевые допущения, сильнее всего влияющие на результат.</t>
  </si>
  <si>
    <t xml:space="preserve">Параметр</t>
  </si>
  <si>
    <t xml:space="preserve">Значение</t>
  </si>
  <si>
    <t xml:space="preserve">Ед.</t>
  </si>
  <si>
    <t xml:space="preserve">Источник / обоснование</t>
  </si>
  <si>
    <t xml:space="preserve">Масштаб и принцип распределения</t>
  </si>
  <si>
    <t xml:space="preserve">Магазинов в расчёте</t>
  </si>
  <si>
    <t xml:space="preserve">шт.</t>
  </si>
  <si>
    <t xml:space="preserve">Условие Task 4</t>
  </si>
  <si>
    <t xml:space="preserve">Магазинов в сети всего</t>
  </si>
  <si>
    <t xml:space="preserve">Кейс: «500 собственных магазинов»</t>
  </si>
  <si>
    <t xml:space="preserve">Доля расчётного контура в сети</t>
  </si>
  <si>
    <t xml:space="preserve">доля</t>
  </si>
  <si>
    <t xml:space="preserve">Все общесетевые затраты и эффекты (центральная команда, облачная платформа, внедрение, поток M&amp;A) распределяются на 100 магазинов пропорционально</t>
  </si>
  <si>
    <t xml:space="preserve">Касс на магазин</t>
  </si>
  <si>
    <t xml:space="preserve">Оценка для формата дрогери</t>
  </si>
  <si>
    <t xml:space="preserve">ФОТ ИТ-специалиста с налогами</t>
  </si>
  <si>
    <t xml:space="preserve">₽/мес</t>
  </si>
  <si>
    <t xml:space="preserve">Оценка полной стоимости сотрудника поддержки в РФ; одна ставка для всех ролей</t>
  </si>
  <si>
    <t xml:space="preserve">AS-IS: локальный сервер в каждом магазине</t>
  </si>
  <si>
    <t xml:space="preserve">Локальный сервер (замена)</t>
  </si>
  <si>
    <t xml:space="preserve">₽/шт</t>
  </si>
  <si>
    <t xml:space="preserve">Оценка: сервер + ОС для магазина</t>
  </si>
  <si>
    <t xml:space="preserve">Срок службы сервера</t>
  </si>
  <si>
    <t xml:space="preserve">лет</t>
  </si>
  <si>
    <t xml:space="preserve">Парк в эксплуатации давно — в среднем 1/5 парка меняется ежегодно (ср. INC-8433)</t>
  </si>
  <si>
    <t xml:space="preserve">Рабочее место кассы: ПК + фискальный регистратор</t>
  </si>
  <si>
    <t xml:space="preserve">₽/касса</t>
  </si>
  <si>
    <t xml:space="preserve">Оценка: ПК кассы ~50 тыс. + ФР ~35 тыс.</t>
  </si>
  <si>
    <t xml:space="preserve">Срок службы рабочего места кассы</t>
  </si>
  <si>
    <t xml:space="preserve">Оценка</t>
  </si>
  <si>
    <t xml:space="preserve">Лицензии и поддержка ПО (Windows Server, SQL, кассовое ПО)</t>
  </si>
  <si>
    <t xml:space="preserve">₽/магазин/год</t>
  </si>
  <si>
    <t xml:space="preserve">Кейс: «платные лицензии на ПО (Windows Server, SQL)»; оценка</t>
  </si>
  <si>
    <t xml:space="preserve">Основной канал связи</t>
  </si>
  <si>
    <t xml:space="preserve">₽/магазин/мес</t>
  </si>
  <si>
    <t xml:space="preserve">Оценка: бизнес-интернет</t>
  </si>
  <si>
    <t xml:space="preserve">Выездов на инциденты</t>
  </si>
  <si>
    <t xml:space="preserve">в год на магазин</t>
  </si>
  <si>
    <t xml:space="preserve">Оценка: сервер, ПК, переустановка ПО (ср. INC-8433, выезд 4–6 ч)</t>
  </si>
  <si>
    <t xml:space="preserve">Прямые расходы на выезд (транспорт, командировочные)</t>
  </si>
  <si>
    <t xml:space="preserve">₽/выезд</t>
  </si>
  <si>
    <t xml:space="preserve">Оценка; зарплата инженеров учтена отдельно в ФОТ</t>
  </si>
  <si>
    <t xml:space="preserve">TO-BE: смарт-терминалы + облако</t>
  </si>
  <si>
    <t xml:space="preserve">Смарт-терминал (Android POS + ФН + принтер)</t>
  </si>
  <si>
    <t xml:space="preserve">Оценка по классу устройств (АТОЛ Sigma, Дримкас и аналоги) с фискальным накопителем</t>
  </si>
  <si>
    <t xml:space="preserve">Подменный фонд терминалов</t>
  </si>
  <si>
    <t xml:space="preserve">доля парка</t>
  </si>
  <si>
    <t xml:space="preserve">Для замены курьером вместо выезда инженера (plug-and-play)</t>
  </si>
  <si>
    <t xml:space="preserve">Роутер с резервным LTE</t>
  </si>
  <si>
    <t xml:space="preserve">₽/магазин</t>
  </si>
  <si>
    <t xml:space="preserve">Оценка; нужен для офлайн-стратегии (Task 3)</t>
  </si>
  <si>
    <t xml:space="preserve">Комплектов ТСД для онбординга на сеть</t>
  </si>
  <si>
    <t xml:space="preserve">Многоразовые: курьер забирает комплект после сканирования и везёт в следующий магазин</t>
  </si>
  <si>
    <t xml:space="preserve">ТСД в комплекте</t>
  </si>
  <si>
    <t xml:space="preserve">Оценка для магазина дрогери</t>
  </si>
  <si>
    <t xml:space="preserve">Стоимость одного ТСД</t>
  </si>
  <si>
    <t xml:space="preserve">Оценка; покупка в Году 1, распределяется по доле контура</t>
  </si>
  <si>
    <t xml:space="preserve">Замена вышедших из строя терминалов (Год 2–3)</t>
  </si>
  <si>
    <t xml:space="preserve">доля парка в год</t>
  </si>
  <si>
    <t xml:space="preserve">Парк новый; плановая замена терминалов по сроку службы в горизонт 3 лет не попадает</t>
  </si>
  <si>
    <t xml:space="preserve">Cloud POS SaaS (включая драйверный слой HAL)</t>
  </si>
  <si>
    <t xml:space="preserve">₽/касса/мес</t>
  </si>
  <si>
    <t xml:space="preserve">Оценка рыночных тарифов кассового SaaS для розницы</t>
  </si>
  <si>
    <t xml:space="preserve">Управление устройствами (MDM)</t>
  </si>
  <si>
    <t xml:space="preserve">₽/устройство/мес</t>
  </si>
  <si>
    <t xml:space="preserve">Резервный LTE-канал</t>
  </si>
  <si>
    <t xml:space="preserve">Выездов подрядчика по вызову</t>
  </si>
  <si>
    <t xml:space="preserve">Сеть, электрика, нестандартные случаи; всё остальное — замена курьером</t>
  </si>
  <si>
    <t xml:space="preserve">Стоимость выезда подрядчика</t>
  </si>
  <si>
    <t xml:space="preserve">Облачная инфраструктура своих сервисов (Sync/Queue, онбординг)</t>
  </si>
  <si>
    <t xml:space="preserve">₽/мес на сеть</t>
  </si>
  <si>
    <t xml:space="preserve">Оценка PaaS-ресурсов; распределяется по доле контура</t>
  </si>
  <si>
    <t xml:space="preserve">НСИ / MDM-каталог (SaaS)</t>
  </si>
  <si>
    <t xml:space="preserve">Оценка; распределяется по доле контура</t>
  </si>
  <si>
    <t xml:space="preserve">Внедрение платформы (интеграция SAP, НСИ, Sync, онбординг, профили HAL)</t>
  </si>
  <si>
    <t xml:space="preserve">₽ на сеть, разово</t>
  </si>
  <si>
    <t xml:space="preserve">Оценка проекта внедрения; распределяется по доле контура</t>
  </si>
  <si>
    <t xml:space="preserve">Перевод одного магазина (обучение, сопровождение, перенос остатков)</t>
  </si>
  <si>
    <t xml:space="preserve">₽/магазин, разово</t>
  </si>
  <si>
    <t xml:space="preserve">Выходное пособие при сокращении</t>
  </si>
  <si>
    <t xml:space="preserve">мес. зарплаты</t>
  </si>
  <si>
    <t xml:space="preserve">ТК РФ, ст. 178: выходное пособие + сохранение среднего заработка на период трудоустройства — всего 2 месяца; третий только по решению службы занятости</t>
  </si>
  <si>
    <t xml:space="preserve">Страховые взносы к зарплате</t>
  </si>
  <si>
    <t xml:space="preserve">Ставка ФОТ выше включает взносы; выходное пособие взносами не облагается, поэтому считается от зарплаты без них</t>
  </si>
  <si>
    <t xml:space="preserve">Финансовые параметры</t>
  </si>
  <si>
    <t xml:space="preserve">Ставка дисконтирования</t>
  </si>
  <si>
    <t xml:space="preserve">в год</t>
  </si>
  <si>
    <t xml:space="preserve">Оценка стоимости капитала в РФ; только для NPV</t>
  </si>
  <si>
    <t xml:space="preserve">Эффект ускорения онбординга (лист «Онбординг»)</t>
  </si>
  <si>
    <t xml:space="preserve">Покупок магазинов в год по сети</t>
  </si>
  <si>
    <t xml:space="preserve">шт./год</t>
  </si>
  <si>
    <t xml:space="preserve">Интервью Data Integration: «скупаем по десять магазинов в месяц»</t>
  </si>
  <si>
    <t xml:space="preserve">На сколько дней раньше открывается магазин</t>
  </si>
  <si>
    <t xml:space="preserve">дней</t>
  </si>
  <si>
    <t xml:space="preserve">Виктор: на 10–15 дней раньше (2–3 недели → 5 дней); середина диапазона</t>
  </si>
  <si>
    <t xml:space="preserve">Выручка магазина в день</t>
  </si>
  <si>
    <t xml:space="preserve">₽/день</t>
  </si>
  <si>
    <t xml:space="preserve">Оценка для регионального магазина дрогери; заменить фактом сделок M&amp;A</t>
  </si>
  <si>
    <t xml:space="preserve">Валовая маржа</t>
  </si>
  <si>
    <t xml:space="preserve">Оценка для дрогери. Пока магазин закрыт, аренда и зарплата всё равно платятся, поэтому упущенная прибыль = упущенная валовая маржа</t>
  </si>
  <si>
    <t xml:space="preserve">Прямые затраты на онбординг As-Is</t>
  </si>
  <si>
    <t xml:space="preserve">Выезд ИТ-бригады (2 чел × 3 дня: дорога, проживание, рабочее время) + ручная сверка товароведом и исправление ~15% ошибок</t>
  </si>
  <si>
    <t xml:space="preserve">Прямые затраты на онбординг To-Be</t>
  </si>
  <si>
    <t xml:space="preserve">Курьер + проверка товароведом позиций с низкой уверенностью AI и выборки + удалённое сопровождение</t>
  </si>
  <si>
    <t xml:space="preserve">Магазин закрыт на время интеграции</t>
  </si>
  <si>
    <t xml:space="preserve">1 — да, 0 — нет</t>
  </si>
  <si>
    <t xml:space="preserve">Кейс: «не может открыться под новым брендом». Если магазин торгует под старой вывеской, поставить 0 — сохранённая маржа обнулится</t>
  </si>
  <si>
    <t xml:space="preserve">Доля Года 1, когда новый онбординг уже работает</t>
  </si>
  <si>
    <t xml:space="preserve">Платформа готова к концу пилота (Q2), дальше новый процесс работает для всех покупок</t>
  </si>
  <si>
    <t xml:space="preserve">AI-сопоставление номенклатуры (облачная языковая модель, оплата за запросы)</t>
  </si>
  <si>
    <t xml:space="preserve">Оценка с запасом: даже если все ~10 тыс. позиций магазина не найдутся по штрихкоду, при ~1 ₽ за запрос выходит около 10 тыс. ₽. Фактически в AI уходит только остаток после сверки по штрихкоду</t>
  </si>
  <si>
    <t xml:space="preserve">Не включено в расчёт: замена фискальных накопителей и договоры с ОФД. Они нужны в обоих сценариях на одинаковое число касс и на разницу между сценариями не влияют. Расчёт ведётся по денежному потоку, без амортизации.</t>
  </si>
  <si>
    <t xml:space="preserve">Штат поддержки магазинов: расчёт по ролям</t>
  </si>
  <si>
    <t xml:space="preserve">Команда поддержки центральная и обслуживает всю сеть из 500 магазинов. Считаем её по ролям для сети, а на 100 магазинов расчёта относим долю (20%). «2,1 ставки на 100 магазинов» — это 20% команды примерно из 10 человек, которая обслуживает всю сеть.</t>
  </si>
  <si>
    <t xml:space="preserve">Покрытие первой линии</t>
  </si>
  <si>
    <t xml:space="preserve">Часы работы магазинов в неделю (7 дней × 14 ч)</t>
  </si>
  <si>
    <t xml:space="preserve">ч/нед</t>
  </si>
  <si>
    <t xml:space="preserve">Рабочих часов одного сотрудника в неделю</t>
  </si>
  <si>
    <t xml:space="preserve">Коэффициент на отпуска и больничные</t>
  </si>
  <si>
    <t xml:space="preserve">×</t>
  </si>
  <si>
    <t xml:space="preserve">Сотрудников на одно круглонедельное рабочее место</t>
  </si>
  <si>
    <t xml:space="preserve">Роль</t>
  </si>
  <si>
    <t xml:space="preserve">Драйвер нагрузки</t>
  </si>
  <si>
    <t xml:space="preserve">FTE на сеть (500)</t>
  </si>
  <si>
    <t xml:space="preserve">FTE на 100 магазинов</t>
  </si>
  <si>
    <t xml:space="preserve">Комментарий</t>
  </si>
  <si>
    <t xml:space="preserve">AS-IS</t>
  </si>
  <si>
    <t xml:space="preserve">1-я линия (Service desk)</t>
  </si>
  <si>
    <t xml:space="preserve">Рабочих мест одновременно</t>
  </si>
  <si>
    <t xml:space="preserve">Звонки из магазинов 7 дней в неделю</t>
  </si>
  <si>
    <t xml:space="preserve">2-я линия: администраторы локальных серверов</t>
  </si>
  <si>
    <t xml:space="preserve">Магазинов на одного администратора</t>
  </si>
  <si>
    <t xml:space="preserve">Патчи Windows/SQL, резервные копии, сбои ночного FTP-обмена</t>
  </si>
  <si>
    <t xml:space="preserve">Выездные инженеры</t>
  </si>
  <si>
    <t xml:space="preserve">Магазинов на одного инженера</t>
  </si>
  <si>
    <t xml:space="preserve">Федеральная сеть: число зависит от географии сети и числа инцидентов</t>
  </si>
  <si>
    <t xml:space="preserve">Итого</t>
  </si>
  <si>
    <t xml:space="preserve">TO-BE</t>
  </si>
  <si>
    <t xml:space="preserve">Меньше инцидентов: нет серверов и локальных БД</t>
  </si>
  <si>
    <t xml:space="preserve">2-я линия: Cloud POS и оборудование</t>
  </si>
  <si>
    <t xml:space="preserve">Сотрудников</t>
  </si>
  <si>
    <t xml:space="preserve">Настройки касс, драйверы HAL, ошибки синхронизации, работа с вендором SaaS</t>
  </si>
  <si>
    <t xml:space="preserve">Парк устройств и логистика замен</t>
  </si>
  <si>
    <t xml:space="preserve">MDM, подменный фонд, отправка терминала курьером</t>
  </si>
  <si>
    <t xml:space="preserve">Эксплуатация облачных сервисов</t>
  </si>
  <si>
    <t xml:space="preserve">Sync/Queue, сервис онбординга, интеграции с SAP</t>
  </si>
  <si>
    <t xml:space="preserve">Высвобождается на 100 магазинов, FTE</t>
  </si>
  <si>
    <t xml:space="preserve">Выездные инженеры не исчезают полностью: нестандартные выезды переданы подрядчику по вызову (статья «Выезды» в TCO).</t>
  </si>
  <si>
    <t xml:space="preserve">План перевода магазинов в Году 1</t>
  </si>
  <si>
    <t xml:space="preserve">Магазин переводится в конце квартала и работает на новой архитектуре со следующего квартала. Пока магазин не переведён, за него продолжают платить по As-Is — это период двойных расходов.</t>
  </si>
  <si>
    <t xml:space="preserve">Квартал Года 1</t>
  </si>
  <si>
    <t xml:space="preserve">Доля парка, переведённая к концу квартала</t>
  </si>
  <si>
    <t xml:space="preserve">Переведено к концу квартала, шт.</t>
  </si>
  <si>
    <t xml:space="preserve">Работает на To-Be в квартале</t>
  </si>
  <si>
    <t xml:space="preserve">Работает на As-Is в квартале</t>
  </si>
  <si>
    <t xml:space="preserve">Этап</t>
  </si>
  <si>
    <t xml:space="preserve">Q1</t>
  </si>
  <si>
    <t xml:space="preserve">Пилот</t>
  </si>
  <si>
    <t xml:space="preserve">Q2</t>
  </si>
  <si>
    <t xml:space="preserve">Волна 1</t>
  </si>
  <si>
    <t xml:space="preserve">Q3</t>
  </si>
  <si>
    <t xml:space="preserve">Волна 2</t>
  </si>
  <si>
    <t xml:space="preserve">Q4</t>
  </si>
  <si>
    <t xml:space="preserve">Волна 3 — все магазины</t>
  </si>
  <si>
    <t xml:space="preserve">Доля магазино-лет на To-Be в Году 1</t>
  </si>
  <si>
    <t xml:space="preserve">Доля магазино-лет на As-Is в Году 1</t>
  </si>
  <si>
    <t xml:space="preserve">Синие ячейки — план раскатки (пилот + три волны); можно менять.</t>
  </si>
  <si>
    <t xml:space="preserve">TCO: As-Is vs To-Be, 100 магазинов, 3 года (₽)</t>
  </si>
  <si>
    <t xml:space="preserve">Все суммы — на 100 магазинов. Формулы ссылаются на листы «Допущения», «Штат», «Раскатка».</t>
  </si>
  <si>
    <t xml:space="preserve">Статья затрат</t>
  </si>
  <si>
    <t xml:space="preserve">Год 1</t>
  </si>
  <si>
    <t xml:space="preserve">Год 2</t>
  </si>
  <si>
    <t xml:space="preserve">Год 3</t>
  </si>
  <si>
    <t xml:space="preserve">Итого 3 года</t>
  </si>
  <si>
    <t xml:space="preserve">Как считается</t>
  </si>
  <si>
    <t xml:space="preserve">Оборудование (CapEx)</t>
  </si>
  <si>
    <t xml:space="preserve">As-Is: ежегодная замена сервера и рабочих мест касс по сроку службы. To-Be Год 1: смарт-терминалы, подменный фонд, роутеры + замены As-Is, пока магазины не переведены</t>
  </si>
  <si>
    <t xml:space="preserve">Лицензии / Подписки (OpEx)</t>
  </si>
  <si>
    <t xml:space="preserve">To-Be Год 1: лицензии As-Is оплачены за год вперёд + подписки Cloud POS и MDM за время работы на новой архитектуре</t>
  </si>
  <si>
    <t xml:space="preserve">Облачная платформа (доля сети)</t>
  </si>
  <si>
    <t xml:space="preserve">Sync/Queue, сервис онбординга, НСИ — общесетевые, относим 20%</t>
  </si>
  <si>
    <t xml:space="preserve">ФОТ поддержки</t>
  </si>
  <si>
    <t xml:space="preserve">Лист «Штат». Год 1 To-Be: старая команда работает весь год (легаси + раскатка), новая набрана к пилоту</t>
  </si>
  <si>
    <t xml:space="preserve">Каналы связи</t>
  </si>
  <si>
    <t xml:space="preserve">To-Be: + резервный LTE для офлайн-стратегии</t>
  </si>
  <si>
    <t xml:space="preserve">Выезды на инциденты</t>
  </si>
  <si>
    <t xml:space="preserve">As-Is: свои инженеры (прямые расходы). To-Be: подрядчик по вызову</t>
  </si>
  <si>
    <t xml:space="preserve">Внедрение (разово)</t>
  </si>
  <si>
    <t xml:space="preserve">Доля проекта внедрения + перевод каждого магазина</t>
  </si>
  <si>
    <t xml:space="preserve">Сокращение штата (разово)</t>
  </si>
  <si>
    <t xml:space="preserve">Выходные пособия высвобождаемым сотрудникам в начале Года 2</t>
  </si>
  <si>
    <t xml:space="preserve">ИТОГО TCO</t>
  </si>
  <si>
    <t xml:space="preserve">Экономия To-Be vs As-Is</t>
  </si>
  <si>
    <t xml:space="preserve">← Год 1 — период раскатки и двойных расходов; Год 3 — установившийся режим</t>
  </si>
  <si>
    <t xml:space="preserve">Снижение TCO, %</t>
  </si>
  <si>
    <t xml:space="preserve">Эффект ускорения онбординга купленных магазинов</t>
  </si>
  <si>
    <t xml:space="preserve">Вне TCO: TCO считает содержание уже работающих 100 магазинов. Здесь — выгода от того, что каждый купленный магазин открывается на 10–15 дней раньше и дешевле подключается. Поток покупок распределён на контур по той же доле 20%. Будущая экономия на содержании новых магазинов сознательно не учтена (консервативно).</t>
  </si>
  <si>
    <t xml:space="preserve">Показатель</t>
  </si>
  <si>
    <t xml:space="preserve">Упущенная валовая маржа, которую сохраняем</t>
  </si>
  <si>
    <t xml:space="preserve">дней раньше × выручка в день × валовая маржа (0, если магазин торгует под старой вывеской)</t>
  </si>
  <si>
    <t xml:space="preserve">Экономия прямых затрат на онбординг</t>
  </si>
  <si>
    <t xml:space="preserve">без выезда бригады и ручной сверки; за вычетом стоимости AI-сопоставления</t>
  </si>
  <si>
    <t xml:space="preserve">Минус: оборудование для нового магазина</t>
  </si>
  <si>
    <t xml:space="preserve">в As-Is купленный магазин работал на своём старом железе</t>
  </si>
  <si>
    <t xml:space="preserve">Чистый эффект на один купленный магазин</t>
  </si>
  <si>
    <t xml:space="preserve">Покупок в год, отнесённых на контур</t>
  </si>
  <si>
    <t xml:space="preserve">10 в месяц по сети × 20%</t>
  </si>
  <si>
    <t xml:space="preserve">Эффект в год (полный год работы процесса)</t>
  </si>
  <si>
    <t xml:space="preserve">Эффект онбординга по годам</t>
  </si>
  <si>
    <t xml:space="preserve">ROI и срок окупаемости (Break-even)</t>
  </si>
  <si>
    <t xml:space="preserve">Экономия TCO (лист TCO)</t>
  </si>
  <si>
    <t xml:space="preserve">Эффект онбординга (лист «Онбординг»)</t>
  </si>
  <si>
    <t xml:space="preserve">Итого выгода, вариант Б</t>
  </si>
  <si>
    <t xml:space="preserve">Накопленно — вариант А (только TCO)</t>
  </si>
  <si>
    <t xml:space="preserve">Накопленно — вариант Б (TCO + онбординг)</t>
  </si>
  <si>
    <t xml:space="preserve">Инвестиции (разовые затраты To-Be)</t>
  </si>
  <si>
    <t xml:space="preserve">Смарт-терминалы, подменный фонд, роутеры, доля комплектов ТСД</t>
  </si>
  <si>
    <t xml:space="preserve">Внедрение</t>
  </si>
  <si>
    <t xml:space="preserve">Двойные расходы Года 1 (ФОТ новой команды при сохранении старой)</t>
  </si>
  <si>
    <t xml:space="preserve">Выходные пособия</t>
  </si>
  <si>
    <t xml:space="preserve">Итого инвестиции</t>
  </si>
  <si>
    <t xml:space="preserve">Итог</t>
  </si>
  <si>
    <t xml:space="preserve">Вариант А: только TCO</t>
  </si>
  <si>
    <t xml:space="preserve">Вариант Б: TCO + онбординг</t>
  </si>
  <si>
    <t xml:space="preserve">Экономия / выгода за 3 года, ₽</t>
  </si>
  <si>
    <t xml:space="preserve">ROI за 3 года = накопленная выгода / инвестиции</t>
  </si>
  <si>
    <t xml:space="preserve">Срок окупаемости, месяцев от старта проекта</t>
  </si>
  <si>
    <t xml:space="preserve">NPV за 3 года (ставка из «Допущений»)</t>
  </si>
  <si>
    <t xml:space="preserve">Снижение TCO в установившемся режиме (Год 3)</t>
  </si>
  <si>
    <t xml:space="preserve">Окупаемость считается по годовым суммам с линейным распределением внутри года; если за 3 года не окупается — продлевается с экономией Года 3. Инвестиции входят в TCO To-Be Года 1–2, поэтому накопленная выгода уже чистая.</t>
  </si>
  <si>
    <t xml:space="preserve">Целевые показатели кейса (Год 3, установившийся режим)</t>
  </si>
  <si>
    <t xml:space="preserve">As-Is</t>
  </si>
  <si>
    <t xml:space="preserve">To-Be</t>
  </si>
  <si>
    <t xml:space="preserve">Снижение</t>
  </si>
  <si>
    <t xml:space="preserve">Цель кейса</t>
  </si>
  <si>
    <t xml:space="preserve">1) Затраты на ИТ-поддержку сети = ФОТ поддержки + выезды на инциденты</t>
  </si>
  <si>
    <t xml:space="preserve">2) Полный TCO магазинов (оборудование, лицензии, связь, облако, поддержка)</t>
  </si>
  <si>
    <t xml:space="preserve">Не хватает до цели по полному TCO, ₽/год (0 — цель достигнута)</t>
  </si>
  <si>
    <t xml:space="preserve">Условия, при которых полный TCO снижается на цель (каждое по отдельности):</t>
  </si>
  <si>
    <t xml:space="preserve">Цена Cloud POS SaaS не выше, ₽ за кассу в месяц</t>
  </si>
  <si>
    <t xml:space="preserve">То же, если управление устройствами (MDM) входит в подписку Cloud POS</t>
  </si>
  <si>
    <t xml:space="preserve">Штат поддержки To-Be не больше, FTE на 100 магазинов</t>
  </si>
  <si>
    <t xml:space="preserve">Цель по ИТ-поддержке достигается с запасом: исчезают администраторы локальных серверов и почти все выезды. Цель по полному TCO — это требование к закупке: цена подписки Cloud POS фиксируется в тендере не выше расчётной.</t>
  </si>
  <si>
    <t xml:space="preserve">Чувствительность результата к ключевым допущениям</t>
  </si>
  <si>
    <t xml:space="preserve">Каждая строка меняет одно допущение относительно базы и пересчитывает выгоду по годам. Изменение штата To-Be учитывает и ФОТ, и выходные пособия.</t>
  </si>
  <si>
    <t xml:space="preserve">Шаг изменения (синие ячейки можно править):</t>
  </si>
  <si>
    <t xml:space="preserve">Штат To-Be, +FTE на 100 магазинов</t>
  </si>
  <si>
    <t xml:space="preserve">Цена Cloud POS SaaS, ±</t>
  </si>
  <si>
    <t xml:space="preserve">Выручка магазина в день, ±</t>
  </si>
  <si>
    <t xml:space="preserve">Открытие раньше на (альтернатива), дней</t>
  </si>
  <si>
    <t xml:space="preserve">Сценарий</t>
  </si>
  <si>
    <t xml:space="preserve">TCO Год 1</t>
  </si>
  <si>
    <t xml:space="preserve">TCO Год 2</t>
  </si>
  <si>
    <t xml:space="preserve">TCO Год 3</t>
  </si>
  <si>
    <t xml:space="preserve">Онб. Год 1</t>
  </si>
  <si>
    <t xml:space="preserve">Онб. Год 2</t>
  </si>
  <si>
    <t xml:space="preserve">Онб. Год 3</t>
  </si>
  <si>
    <t xml:space="preserve">Окупаемость А, мес.</t>
  </si>
  <si>
    <t xml:space="preserve">Окупаемость Б, мес.</t>
  </si>
  <si>
    <t xml:space="preserve">База</t>
  </si>
  <si>
    <t xml:space="preserve">Штат To-Be больше на шаг</t>
  </si>
  <si>
    <t xml:space="preserve">SaaS дороже на шаг</t>
  </si>
  <si>
    <t xml:space="preserve">SaaS дешевле на шаг</t>
  </si>
  <si>
    <t xml:space="preserve">Выручка магазина ниже на шаг</t>
  </si>
  <si>
    <t xml:space="preserve">Открытие раньше на 10 дней</t>
  </si>
  <si>
    <t xml:space="preserve">Магазин торгует под старой вывеской</t>
  </si>
  <si>
    <t xml:space="preserve">Открытие раньше на 15 дней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</si>
</sst>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#,##0.0;\(#,##0.0\);\-"/>
    <numFmt numFmtId="168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80"/>
  </cols>
  <sheetData>
    <row r="1" customFormat="false" ht="17.25" hidden="false" customHeight="true" outlineLevel="0" collapsed="false">
      <c r="A1" s="2" t="s">
        <v>0</v>
      </c>
      <c r="B1" s="3"/>
      <c r="C1" s="3"/>
      <c r="D1" s="3"/>
    </row>
    <row r="2" customFormat="false" ht="45" hidden="false" customHeight="true" outlineLevel="0" collapsed="false">
      <c r="A2" s="4" t="s">
        <v>1</v>
      </c>
      <c r="B2" s="4"/>
      <c r="C2" s="4"/>
      <c r="D2" s="4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true" outlineLevel="0" collapsed="false">
      <c r="A5" s="6" t="s">
        <v>6</v>
      </c>
      <c r="B5" s="7"/>
      <c r="C5" s="7"/>
      <c r="D5" s="7"/>
    </row>
    <row r="6" customFormat="false" ht="15" hidden="false" customHeight="true" outlineLevel="0" collapsed="false">
      <c r="A6" s="8" t="s">
        <v>7</v>
      </c>
      <c r="B6" s="9" t="n">
        <v>100</v>
      </c>
      <c r="C6" s="3" t="s">
        <v>8</v>
      </c>
      <c r="D6" s="8" t="s">
        <v>9</v>
      </c>
    </row>
    <row r="7" customFormat="false" ht="15" hidden="false" customHeight="true" outlineLevel="0" collapsed="false">
      <c r="A7" s="8" t="s">
        <v>10</v>
      </c>
      <c r="B7" s="9" t="n">
        <v>500</v>
      </c>
      <c r="C7" s="3" t="s">
        <v>8</v>
      </c>
      <c r="D7" s="8" t="s">
        <v>11</v>
      </c>
    </row>
    <row r="8" customFormat="false" ht="39" hidden="false" customHeight="true" outlineLevel="0" collapsed="false">
      <c r="A8" s="8" t="s">
        <v>12</v>
      </c>
      <c r="B8" s="10" t="n">
        <f aca="false">B6/B7</f>
        <v>0.2</v>
      </c>
      <c r="C8" s="3" t="s">
        <v>13</v>
      </c>
      <c r="D8" s="8" t="s">
        <v>14</v>
      </c>
    </row>
    <row r="9" customFormat="false" ht="15" hidden="false" customHeight="true" outlineLevel="0" collapsed="false">
      <c r="A9" s="8" t="s">
        <v>15</v>
      </c>
      <c r="B9" s="9" t="n">
        <v>2</v>
      </c>
      <c r="C9" s="3" t="s">
        <v>8</v>
      </c>
      <c r="D9" s="8" t="s">
        <v>16</v>
      </c>
    </row>
    <row r="10" customFormat="false" ht="26.25" hidden="false" customHeight="true" outlineLevel="0" collapsed="false">
      <c r="A10" s="8" t="s">
        <v>17</v>
      </c>
      <c r="B10" s="11" t="n">
        <v>150000</v>
      </c>
      <c r="C10" s="3" t="s">
        <v>18</v>
      </c>
      <c r="D10" s="8" t="s">
        <v>19</v>
      </c>
    </row>
    <row r="11" customFormat="false" ht="15" hidden="false" customHeight="true" outlineLevel="0" collapsed="false">
      <c r="A11" s="6" t="s">
        <v>20</v>
      </c>
      <c r="B11" s="7"/>
      <c r="C11" s="7"/>
      <c r="D11" s="7"/>
    </row>
    <row r="12" customFormat="false" ht="15" hidden="false" customHeight="true" outlineLevel="0" collapsed="false">
      <c r="A12" s="8" t="s">
        <v>21</v>
      </c>
      <c r="B12" s="9" t="n">
        <v>100000</v>
      </c>
      <c r="C12" s="3" t="s">
        <v>22</v>
      </c>
      <c r="D12" s="8" t="s">
        <v>23</v>
      </c>
    </row>
    <row r="13" customFormat="false" ht="26.25" hidden="false" customHeight="true" outlineLevel="0" collapsed="false">
      <c r="A13" s="8" t="s">
        <v>24</v>
      </c>
      <c r="B13" s="9" t="n">
        <v>5</v>
      </c>
      <c r="C13" s="3" t="s">
        <v>25</v>
      </c>
      <c r="D13" s="8" t="s">
        <v>26</v>
      </c>
    </row>
    <row r="14" customFormat="false" ht="15" hidden="false" customHeight="true" outlineLevel="0" collapsed="false">
      <c r="A14" s="8" t="s">
        <v>27</v>
      </c>
      <c r="B14" s="9" t="n">
        <v>85000</v>
      </c>
      <c r="C14" s="3" t="s">
        <v>28</v>
      </c>
      <c r="D14" s="8" t="s">
        <v>29</v>
      </c>
    </row>
    <row r="15" customFormat="false" ht="15" hidden="false" customHeight="true" outlineLevel="0" collapsed="false">
      <c r="A15" s="8" t="s">
        <v>30</v>
      </c>
      <c r="B15" s="9" t="n">
        <v>5</v>
      </c>
      <c r="C15" s="3" t="s">
        <v>25</v>
      </c>
      <c r="D15" s="8" t="s">
        <v>31</v>
      </c>
    </row>
    <row r="16" customFormat="false" ht="26.25" hidden="false" customHeight="true" outlineLevel="0" collapsed="false">
      <c r="A16" s="8" t="s">
        <v>32</v>
      </c>
      <c r="B16" s="9" t="n">
        <v>40000</v>
      </c>
      <c r="C16" s="3" t="s">
        <v>33</v>
      </c>
      <c r="D16" s="8" t="s">
        <v>34</v>
      </c>
    </row>
    <row r="17" customFormat="false" ht="15" hidden="false" customHeight="true" outlineLevel="0" collapsed="false">
      <c r="A17" s="8" t="s">
        <v>35</v>
      </c>
      <c r="B17" s="9" t="n">
        <v>3000</v>
      </c>
      <c r="C17" s="3" t="s">
        <v>36</v>
      </c>
      <c r="D17" s="8" t="s">
        <v>37</v>
      </c>
    </row>
    <row r="18" customFormat="false" ht="15" hidden="false" customHeight="true" outlineLevel="0" collapsed="false">
      <c r="A18" s="8" t="s">
        <v>38</v>
      </c>
      <c r="B18" s="9" t="n">
        <v>6</v>
      </c>
      <c r="C18" s="3" t="s">
        <v>39</v>
      </c>
      <c r="D18" s="8" t="s">
        <v>40</v>
      </c>
    </row>
    <row r="19" customFormat="false" ht="15" hidden="false" customHeight="true" outlineLevel="0" collapsed="false">
      <c r="A19" s="8" t="s">
        <v>41</v>
      </c>
      <c r="B19" s="9" t="n">
        <v>5000</v>
      </c>
      <c r="C19" s="3" t="s">
        <v>42</v>
      </c>
      <c r="D19" s="8" t="s">
        <v>43</v>
      </c>
    </row>
    <row r="20" customFormat="false" ht="15" hidden="false" customHeight="true" outlineLevel="0" collapsed="false">
      <c r="A20" s="6" t="s">
        <v>44</v>
      </c>
      <c r="B20" s="7"/>
      <c r="C20" s="7"/>
      <c r="D20" s="7"/>
    </row>
    <row r="21" customFormat="false" ht="26.25" hidden="false" customHeight="true" outlineLevel="0" collapsed="false">
      <c r="A21" s="8" t="s">
        <v>45</v>
      </c>
      <c r="B21" s="11" t="n">
        <v>50000</v>
      </c>
      <c r="C21" s="3" t="s">
        <v>28</v>
      </c>
      <c r="D21" s="8" t="s">
        <v>46</v>
      </c>
    </row>
    <row r="22" customFormat="false" ht="15" hidden="false" customHeight="true" outlineLevel="0" collapsed="false">
      <c r="A22" s="8" t="s">
        <v>47</v>
      </c>
      <c r="B22" s="12" t="n">
        <v>0.05</v>
      </c>
      <c r="C22" s="3" t="s">
        <v>48</v>
      </c>
      <c r="D22" s="8" t="s">
        <v>49</v>
      </c>
    </row>
    <row r="23" customFormat="false" ht="15" hidden="false" customHeight="true" outlineLevel="0" collapsed="false">
      <c r="A23" s="8" t="s">
        <v>50</v>
      </c>
      <c r="B23" s="9" t="n">
        <v>15000</v>
      </c>
      <c r="C23" s="3" t="s">
        <v>51</v>
      </c>
      <c r="D23" s="8" t="s">
        <v>52</v>
      </c>
    </row>
    <row r="24" customFormat="false" ht="26.25" hidden="false" customHeight="true" outlineLevel="0" collapsed="false">
      <c r="A24" s="8" t="s">
        <v>53</v>
      </c>
      <c r="B24" s="9" t="n">
        <v>4</v>
      </c>
      <c r="C24" s="3" t="s">
        <v>8</v>
      </c>
      <c r="D24" s="8" t="s">
        <v>54</v>
      </c>
    </row>
    <row r="25" customFormat="false" ht="15" hidden="false" customHeight="true" outlineLevel="0" collapsed="false">
      <c r="A25" s="8" t="s">
        <v>55</v>
      </c>
      <c r="B25" s="9" t="n">
        <v>3</v>
      </c>
      <c r="C25" s="3" t="s">
        <v>8</v>
      </c>
      <c r="D25" s="8" t="s">
        <v>56</v>
      </c>
    </row>
    <row r="26" customFormat="false" ht="15" hidden="false" customHeight="true" outlineLevel="0" collapsed="false">
      <c r="A26" s="8" t="s">
        <v>57</v>
      </c>
      <c r="B26" s="9" t="n">
        <v>40000</v>
      </c>
      <c r="C26" s="3" t="s">
        <v>22</v>
      </c>
      <c r="D26" s="8" t="s">
        <v>58</v>
      </c>
    </row>
    <row r="27" customFormat="false" ht="26.25" hidden="false" customHeight="true" outlineLevel="0" collapsed="false">
      <c r="A27" s="8" t="s">
        <v>59</v>
      </c>
      <c r="B27" s="12" t="n">
        <v>0.05</v>
      </c>
      <c r="C27" s="3" t="s">
        <v>60</v>
      </c>
      <c r="D27" s="8" t="s">
        <v>61</v>
      </c>
    </row>
    <row r="28" customFormat="false" ht="15" hidden="false" customHeight="true" outlineLevel="0" collapsed="false">
      <c r="A28" s="8" t="s">
        <v>62</v>
      </c>
      <c r="B28" s="11" t="n">
        <v>2500</v>
      </c>
      <c r="C28" s="3" t="s">
        <v>63</v>
      </c>
      <c r="D28" s="8" t="s">
        <v>64</v>
      </c>
    </row>
    <row r="29" customFormat="false" ht="15" hidden="false" customHeight="true" outlineLevel="0" collapsed="false">
      <c r="A29" s="8" t="s">
        <v>65</v>
      </c>
      <c r="B29" s="9" t="n">
        <v>300</v>
      </c>
      <c r="C29" s="3" t="s">
        <v>66</v>
      </c>
      <c r="D29" s="8" t="s">
        <v>31</v>
      </c>
    </row>
    <row r="30" customFormat="false" ht="15" hidden="false" customHeight="true" outlineLevel="0" collapsed="false">
      <c r="A30" s="8" t="s">
        <v>67</v>
      </c>
      <c r="B30" s="9" t="n">
        <v>1000</v>
      </c>
      <c r="C30" s="3" t="s">
        <v>36</v>
      </c>
      <c r="D30" s="8" t="s">
        <v>31</v>
      </c>
    </row>
    <row r="31" customFormat="false" ht="15" hidden="false" customHeight="true" outlineLevel="0" collapsed="false">
      <c r="A31" s="8" t="s">
        <v>68</v>
      </c>
      <c r="B31" s="9" t="n">
        <v>1</v>
      </c>
      <c r="C31" s="3" t="s">
        <v>39</v>
      </c>
      <c r="D31" s="8" t="s">
        <v>69</v>
      </c>
    </row>
    <row r="32" customFormat="false" ht="15" hidden="false" customHeight="true" outlineLevel="0" collapsed="false">
      <c r="A32" s="8" t="s">
        <v>70</v>
      </c>
      <c r="B32" s="9" t="n">
        <v>8000</v>
      </c>
      <c r="C32" s="3" t="s">
        <v>42</v>
      </c>
      <c r="D32" s="8" t="s">
        <v>31</v>
      </c>
    </row>
    <row r="33" customFormat="false" ht="26.25" hidden="false" customHeight="true" outlineLevel="0" collapsed="false">
      <c r="A33" s="8" t="s">
        <v>71</v>
      </c>
      <c r="B33" s="9" t="n">
        <v>150000</v>
      </c>
      <c r="C33" s="3" t="s">
        <v>72</v>
      </c>
      <c r="D33" s="8" t="s">
        <v>73</v>
      </c>
    </row>
    <row r="34" customFormat="false" ht="15" hidden="false" customHeight="true" outlineLevel="0" collapsed="false">
      <c r="A34" s="8" t="s">
        <v>74</v>
      </c>
      <c r="B34" s="9" t="n">
        <v>200000</v>
      </c>
      <c r="C34" s="3" t="s">
        <v>72</v>
      </c>
      <c r="D34" s="8" t="s">
        <v>75</v>
      </c>
    </row>
    <row r="35" customFormat="false" ht="26.25" hidden="false" customHeight="true" outlineLevel="0" collapsed="false">
      <c r="A35" s="8" t="s">
        <v>76</v>
      </c>
      <c r="B35" s="9" t="n">
        <v>15000000</v>
      </c>
      <c r="C35" s="3" t="s">
        <v>77</v>
      </c>
      <c r="D35" s="8" t="s">
        <v>78</v>
      </c>
    </row>
    <row r="36" customFormat="false" ht="26.25" hidden="false" customHeight="true" outlineLevel="0" collapsed="false">
      <c r="A36" s="8" t="s">
        <v>79</v>
      </c>
      <c r="B36" s="9" t="n">
        <v>20000</v>
      </c>
      <c r="C36" s="3" t="s">
        <v>80</v>
      </c>
      <c r="D36" s="8" t="s">
        <v>31</v>
      </c>
    </row>
    <row r="37" customFormat="false" ht="39" hidden="false" customHeight="true" outlineLevel="0" collapsed="false">
      <c r="A37" s="8" t="s">
        <v>81</v>
      </c>
      <c r="B37" s="9" t="n">
        <v>2</v>
      </c>
      <c r="C37" s="3" t="s">
        <v>82</v>
      </c>
      <c r="D37" s="8" t="s">
        <v>83</v>
      </c>
    </row>
    <row r="38" customFormat="false" ht="26.25" hidden="false" customHeight="true" outlineLevel="0" collapsed="false">
      <c r="A38" s="8" t="s">
        <v>84</v>
      </c>
      <c r="B38" s="12" t="n">
        <v>0.3</v>
      </c>
      <c r="C38" s="3" t="s">
        <v>13</v>
      </c>
      <c r="D38" s="8" t="s">
        <v>85</v>
      </c>
    </row>
    <row r="39" customFormat="false" ht="15" hidden="false" customHeight="true" outlineLevel="0" collapsed="false">
      <c r="A39" s="6" t="s">
        <v>86</v>
      </c>
      <c r="B39" s="7"/>
      <c r="C39" s="7"/>
      <c r="D39" s="7"/>
    </row>
    <row r="40" customFormat="false" ht="15" hidden="false" customHeight="true" outlineLevel="0" collapsed="false">
      <c r="A40" s="8" t="s">
        <v>87</v>
      </c>
      <c r="B40" s="12" t="n">
        <v>0.18</v>
      </c>
      <c r="C40" s="3" t="s">
        <v>88</v>
      </c>
      <c r="D40" s="8" t="s">
        <v>89</v>
      </c>
    </row>
    <row r="41" customFormat="false" ht="15" hidden="false" customHeight="true" outlineLevel="0" collapsed="false">
      <c r="A41" s="6" t="s">
        <v>90</v>
      </c>
      <c r="B41" s="7"/>
      <c r="C41" s="7"/>
      <c r="D41" s="7"/>
    </row>
    <row r="42" customFormat="false" ht="15" hidden="false" customHeight="true" outlineLevel="0" collapsed="false">
      <c r="A42" s="8" t="s">
        <v>91</v>
      </c>
      <c r="B42" s="9" t="n">
        <v>120</v>
      </c>
      <c r="C42" s="3" t="s">
        <v>92</v>
      </c>
      <c r="D42" s="8" t="s">
        <v>93</v>
      </c>
    </row>
    <row r="43" customFormat="false" ht="15" hidden="false" customHeight="true" outlineLevel="0" collapsed="false">
      <c r="A43" s="8" t="s">
        <v>94</v>
      </c>
      <c r="B43" s="13" t="n">
        <v>12.5</v>
      </c>
      <c r="C43" s="3" t="s">
        <v>95</v>
      </c>
      <c r="D43" s="8" t="s">
        <v>96</v>
      </c>
    </row>
    <row r="44" customFormat="false" ht="15" hidden="false" customHeight="true" outlineLevel="0" collapsed="false">
      <c r="A44" s="8" t="s">
        <v>97</v>
      </c>
      <c r="B44" s="11" t="n">
        <v>150000</v>
      </c>
      <c r="C44" s="3" t="s">
        <v>98</v>
      </c>
      <c r="D44" s="8" t="s">
        <v>99</v>
      </c>
    </row>
    <row r="45" customFormat="false" ht="26.25" hidden="false" customHeight="true" outlineLevel="0" collapsed="false">
      <c r="A45" s="8" t="s">
        <v>100</v>
      </c>
      <c r="B45" s="12" t="n">
        <v>0.3</v>
      </c>
      <c r="C45" s="3" t="s">
        <v>13</v>
      </c>
      <c r="D45" s="8" t="s">
        <v>101</v>
      </c>
    </row>
    <row r="46" customFormat="false" ht="26.25" hidden="false" customHeight="true" outlineLevel="0" collapsed="false">
      <c r="A46" s="8" t="s">
        <v>102</v>
      </c>
      <c r="B46" s="9" t="n">
        <v>160000</v>
      </c>
      <c r="C46" s="3" t="s">
        <v>51</v>
      </c>
      <c r="D46" s="8" t="s">
        <v>103</v>
      </c>
    </row>
    <row r="47" customFormat="false" ht="15" hidden="false" customHeight="true" outlineLevel="0" collapsed="false">
      <c r="A47" s="8" t="s">
        <v>104</v>
      </c>
      <c r="B47" s="9" t="n">
        <v>30000</v>
      </c>
      <c r="C47" s="3" t="s">
        <v>51</v>
      </c>
      <c r="D47" s="8" t="s">
        <v>105</v>
      </c>
    </row>
    <row r="48" customFormat="false" ht="26.25" hidden="false" customHeight="true" outlineLevel="0" collapsed="false">
      <c r="A48" s="8" t="s">
        <v>106</v>
      </c>
      <c r="B48" s="9" t="n">
        <v>1</v>
      </c>
      <c r="C48" s="3" t="s">
        <v>107</v>
      </c>
      <c r="D48" s="8" t="s">
        <v>108</v>
      </c>
    </row>
    <row r="49" customFormat="false" ht="26.25" hidden="false" customHeight="true" outlineLevel="0" collapsed="false">
      <c r="A49" s="8" t="s">
        <v>109</v>
      </c>
      <c r="B49" s="12" t="n">
        <v>0.5</v>
      </c>
      <c r="C49" s="3" t="s">
        <v>13</v>
      </c>
      <c r="D49" s="8" t="s">
        <v>110</v>
      </c>
    </row>
    <row r="50" customFormat="false" ht="15" hidden="false" customHeight="true" outlineLevel="0" collapsed="false">
      <c r="A50" s="8" t="s">
        <v>111</v>
      </c>
      <c r="B50" s="12" t="n">
        <v>10000</v>
      </c>
      <c r="C50" s="3" t="s">
        <v>51</v>
      </c>
      <c r="D50" s="8" t="s">
        <v>112</v>
      </c>
    </row>
    <row r="51" customFormat="false" ht="31.5" hidden="false" customHeight="true" outlineLevel="0" collapsed="false">
      <c r="A51" s="4" t="s">
        <v>113</v>
      </c>
      <c r="B51" s="4"/>
      <c r="C51" s="4"/>
      <c r="D51" s="4"/>
    </row>
  </sheetData>
  <mergeCells count="2">
    <mergeCell ref="A2:D2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5" min="4" style="1" width="16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114</v>
      </c>
      <c r="B1" s="3"/>
      <c r="C1" s="3"/>
      <c r="D1" s="3"/>
      <c r="E1" s="3"/>
      <c r="F1" s="3"/>
    </row>
    <row r="2" customFormat="false" ht="48" hidden="false" customHeight="true" outlineLevel="0" collapsed="false">
      <c r="A2" s="4" t="s">
        <v>115</v>
      </c>
      <c r="B2" s="4"/>
      <c r="C2" s="4"/>
      <c r="D2" s="4"/>
      <c r="E2" s="4"/>
      <c r="F2" s="4"/>
    </row>
    <row r="3" customFormat="false" ht="15" hidden="false" customHeight="true" outlineLevel="0" collapsed="false">
      <c r="A3" s="3"/>
      <c r="B3" s="3"/>
      <c r="C3" s="3"/>
      <c r="D3" s="3"/>
      <c r="E3" s="3"/>
      <c r="F3" s="3"/>
    </row>
    <row r="4" customFormat="false" ht="15" hidden="false" customHeight="true" outlineLevel="0" collapsed="false">
      <c r="A4" s="14" t="s">
        <v>116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3" t="s">
        <v>117</v>
      </c>
      <c r="B5" s="15" t="n">
        <v>98</v>
      </c>
      <c r="C5" s="3" t="s">
        <v>118</v>
      </c>
      <c r="D5" s="3"/>
      <c r="E5" s="3"/>
      <c r="F5" s="3"/>
    </row>
    <row r="6" customFormat="false" ht="15" hidden="false" customHeight="true" outlineLevel="0" collapsed="false">
      <c r="A6" s="3" t="s">
        <v>119</v>
      </c>
      <c r="B6" s="15" t="n">
        <v>40</v>
      </c>
      <c r="C6" s="3" t="s">
        <v>118</v>
      </c>
      <c r="D6" s="3"/>
      <c r="E6" s="3"/>
      <c r="F6" s="3"/>
    </row>
    <row r="7" customFormat="false" ht="15" hidden="false" customHeight="true" outlineLevel="0" collapsed="false">
      <c r="A7" s="3" t="s">
        <v>120</v>
      </c>
      <c r="B7" s="15" t="n">
        <v>1.2</v>
      </c>
      <c r="C7" s="3" t="s">
        <v>121</v>
      </c>
      <c r="D7" s="3"/>
      <c r="E7" s="3"/>
      <c r="F7" s="3"/>
    </row>
    <row r="8" customFormat="false" ht="15" hidden="false" customHeight="true" outlineLevel="0" collapsed="false">
      <c r="A8" s="3" t="s">
        <v>122</v>
      </c>
      <c r="B8" s="16" t="n">
        <f aca="false">$B$5/$B$6*$B$7</f>
        <v>2.94</v>
      </c>
      <c r="C8" s="3"/>
      <c r="D8" s="3"/>
      <c r="E8" s="3"/>
      <c r="F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</row>
    <row r="10" customFormat="false" ht="26.25" hidden="false" customHeight="true" outlineLevel="0" collapsed="false">
      <c r="A10" s="5" t="s">
        <v>123</v>
      </c>
      <c r="B10" s="5" t="s">
        <v>124</v>
      </c>
      <c r="C10" s="5" t="s">
        <v>2</v>
      </c>
      <c r="D10" s="5" t="s">
        <v>125</v>
      </c>
      <c r="E10" s="5" t="s">
        <v>126</v>
      </c>
      <c r="F10" s="5" t="s">
        <v>127</v>
      </c>
    </row>
    <row r="11" customFormat="false" ht="15" hidden="false" customHeight="true" outlineLevel="0" collapsed="false">
      <c r="A11" s="6" t="s">
        <v>128</v>
      </c>
      <c r="B11" s="7"/>
      <c r="C11" s="7"/>
      <c r="D11" s="7"/>
      <c r="E11" s="7"/>
      <c r="F11" s="7"/>
    </row>
    <row r="12" customFormat="false" ht="15" hidden="false" customHeight="true" outlineLevel="0" collapsed="false">
      <c r="A12" s="8" t="s">
        <v>129</v>
      </c>
      <c r="B12" s="8" t="s">
        <v>130</v>
      </c>
      <c r="C12" s="15" t="n">
        <v>2</v>
      </c>
      <c r="D12" s="17" t="n">
        <f aca="false">C12*$B$8</f>
        <v>5.88</v>
      </c>
      <c r="E12" s="16" t="n">
        <f aca="false">D12*Допущения!$B$8</f>
        <v>1.176</v>
      </c>
      <c r="F12" s="8" t="s">
        <v>131</v>
      </c>
    </row>
    <row r="13" customFormat="false" ht="26.25" hidden="false" customHeight="true" outlineLevel="0" collapsed="false">
      <c r="A13" s="8" t="s">
        <v>132</v>
      </c>
      <c r="B13" s="8" t="s">
        <v>133</v>
      </c>
      <c r="C13" s="15" t="n">
        <v>80</v>
      </c>
      <c r="D13" s="17" t="n">
        <f aca="false">Допущения!$B$7/C13</f>
        <v>6.25</v>
      </c>
      <c r="E13" s="16" t="n">
        <f aca="false">D13*Допущения!$B$8</f>
        <v>1.25</v>
      </c>
      <c r="F13" s="8" t="s">
        <v>134</v>
      </c>
    </row>
    <row r="14" customFormat="false" ht="26.25" hidden="false" customHeight="true" outlineLevel="0" collapsed="false">
      <c r="A14" s="8" t="s">
        <v>135</v>
      </c>
      <c r="B14" s="8" t="s">
        <v>136</v>
      </c>
      <c r="C14" s="15" t="n">
        <v>30</v>
      </c>
      <c r="D14" s="17" t="n">
        <f aca="false">Допущения!$B$7/C14</f>
        <v>16.6666666666667</v>
      </c>
      <c r="E14" s="16" t="n">
        <f aca="false">D14*Допущения!$B$8</f>
        <v>3.33333333333333</v>
      </c>
      <c r="F14" s="8" t="s">
        <v>137</v>
      </c>
    </row>
    <row r="15" customFormat="false" ht="15" hidden="false" customHeight="true" outlineLevel="0" collapsed="false">
      <c r="A15" s="14" t="s">
        <v>138</v>
      </c>
      <c r="B15" s="3"/>
      <c r="C15" s="3"/>
      <c r="D15" s="17" t="n">
        <f aca="false">SUM(D12:D14)</f>
        <v>28.7966666666667</v>
      </c>
      <c r="E15" s="18" t="n">
        <f aca="false">SUM(E12:E14)</f>
        <v>5.75933333333333</v>
      </c>
      <c r="F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</row>
    <row r="17" customFormat="false" ht="15" hidden="false" customHeight="true" outlineLevel="0" collapsed="false">
      <c r="A17" s="6" t="s">
        <v>139</v>
      </c>
      <c r="B17" s="7"/>
      <c r="C17" s="7"/>
      <c r="D17" s="7"/>
      <c r="E17" s="7"/>
      <c r="F17" s="7"/>
    </row>
    <row r="18" customFormat="false" ht="15" hidden="false" customHeight="true" outlineLevel="0" collapsed="false">
      <c r="A18" s="8" t="s">
        <v>129</v>
      </c>
      <c r="B18" s="8" t="s">
        <v>130</v>
      </c>
      <c r="C18" s="15" t="n">
        <v>1.5</v>
      </c>
      <c r="D18" s="17" t="n">
        <f aca="false">C18*$B$8</f>
        <v>4.41</v>
      </c>
      <c r="E18" s="16" t="n">
        <f aca="false">D18*Допущения!$B$8</f>
        <v>0.882</v>
      </c>
      <c r="F18" s="8" t="s">
        <v>140</v>
      </c>
    </row>
    <row r="19" customFormat="false" ht="26.25" hidden="false" customHeight="true" outlineLevel="0" collapsed="false">
      <c r="A19" s="8" t="s">
        <v>141</v>
      </c>
      <c r="B19" s="8" t="s">
        <v>142</v>
      </c>
      <c r="C19" s="15" t="n">
        <v>3</v>
      </c>
      <c r="D19" s="17" t="n">
        <f aca="false">C19</f>
        <v>3</v>
      </c>
      <c r="E19" s="16" t="n">
        <f aca="false">D19*Допущения!$B$8</f>
        <v>0.6</v>
      </c>
      <c r="F19" s="8" t="s">
        <v>143</v>
      </c>
    </row>
    <row r="20" customFormat="false" ht="15" hidden="false" customHeight="true" outlineLevel="0" collapsed="false">
      <c r="A20" s="8" t="s">
        <v>144</v>
      </c>
      <c r="B20" s="8" t="s">
        <v>142</v>
      </c>
      <c r="C20" s="15" t="n">
        <v>1</v>
      </c>
      <c r="D20" s="17" t="n">
        <f aca="false">C20</f>
        <v>1</v>
      </c>
      <c r="E20" s="16" t="n">
        <f aca="false">D20*Допущения!$B$8</f>
        <v>0.2</v>
      </c>
      <c r="F20" s="8" t="s">
        <v>145</v>
      </c>
    </row>
    <row r="21" customFormat="false" ht="15" hidden="false" customHeight="true" outlineLevel="0" collapsed="false">
      <c r="A21" s="8" t="s">
        <v>146</v>
      </c>
      <c r="B21" s="8" t="s">
        <v>142</v>
      </c>
      <c r="C21" s="15" t="n">
        <v>2</v>
      </c>
      <c r="D21" s="17" t="n">
        <f aca="false">C21</f>
        <v>2</v>
      </c>
      <c r="E21" s="16" t="n">
        <f aca="false">D21*Допущения!$B$8</f>
        <v>0.4</v>
      </c>
      <c r="F21" s="8" t="s">
        <v>147</v>
      </c>
    </row>
    <row r="22" customFormat="false" ht="15" hidden="false" customHeight="true" outlineLevel="0" collapsed="false">
      <c r="A22" s="14" t="s">
        <v>138</v>
      </c>
      <c r="B22" s="3"/>
      <c r="C22" s="3"/>
      <c r="D22" s="17" t="n">
        <f aca="false">SUM(D18:D21)</f>
        <v>10.41</v>
      </c>
      <c r="E22" s="18" t="n">
        <f aca="false">SUM(E18:E21)</f>
        <v>2.082</v>
      </c>
      <c r="F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</row>
    <row r="24" customFormat="false" ht="15" hidden="false" customHeight="true" outlineLevel="0" collapsed="false">
      <c r="A24" s="14" t="s">
        <v>148</v>
      </c>
      <c r="B24" s="3"/>
      <c r="C24" s="3"/>
      <c r="D24" s="3"/>
      <c r="E24" s="16" t="n">
        <f aca="false">Штат!$E$15-Штат!$E$22</f>
        <v>3.67733333333333</v>
      </c>
      <c r="F24" s="3"/>
    </row>
    <row r="25" customFormat="false" ht="30" hidden="false" customHeight="true" outlineLevel="0" collapsed="false">
      <c r="A25" s="4" t="s">
        <v>149</v>
      </c>
      <c r="B25" s="4"/>
      <c r="C25" s="4"/>
      <c r="D25" s="4"/>
      <c r="E25" s="4"/>
      <c r="F25" s="4"/>
    </row>
  </sheetData>
  <mergeCells count="2">
    <mergeCell ref="A2:F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20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150</v>
      </c>
      <c r="B1" s="3"/>
      <c r="C1" s="3"/>
      <c r="D1" s="3"/>
      <c r="E1" s="3"/>
      <c r="F1" s="3"/>
    </row>
    <row r="2" customFormat="false" ht="36" hidden="false" customHeight="true" outlineLevel="0" collapsed="false">
      <c r="A2" s="4" t="s">
        <v>151</v>
      </c>
      <c r="B2" s="4"/>
      <c r="C2" s="4"/>
      <c r="D2" s="4"/>
      <c r="E2" s="4"/>
      <c r="F2" s="4"/>
    </row>
    <row r="3" customFormat="false" ht="15" hidden="false" customHeight="true" outlineLevel="0" collapsed="false">
      <c r="A3" s="3"/>
      <c r="B3" s="3"/>
      <c r="C3" s="3"/>
      <c r="D3" s="3"/>
      <c r="E3" s="3"/>
      <c r="F3" s="3"/>
    </row>
    <row r="4" customFormat="false" ht="39" hidden="false" customHeight="true" outlineLevel="0" collapsed="false">
      <c r="A4" s="5" t="s">
        <v>152</v>
      </c>
      <c r="B4" s="5" t="s">
        <v>153</v>
      </c>
      <c r="C4" s="5" t="s">
        <v>154</v>
      </c>
      <c r="D4" s="5" t="s">
        <v>155</v>
      </c>
      <c r="E4" s="5" t="s">
        <v>156</v>
      </c>
      <c r="F4" s="5" t="s">
        <v>157</v>
      </c>
    </row>
    <row r="5" customFormat="false" ht="15" hidden="false" customHeight="true" outlineLevel="0" collapsed="false">
      <c r="A5" s="3" t="s">
        <v>158</v>
      </c>
      <c r="B5" s="12" t="n">
        <v>0.1</v>
      </c>
      <c r="C5" s="19" t="n">
        <f aca="false">B5*Допущения!$B$6</f>
        <v>10</v>
      </c>
      <c r="D5" s="19" t="n">
        <f aca="false">0</f>
        <v>0</v>
      </c>
      <c r="E5" s="19" t="n">
        <f aca="false">Допущения!$B$6-D5</f>
        <v>100</v>
      </c>
      <c r="F5" s="3" t="s">
        <v>159</v>
      </c>
    </row>
    <row r="6" customFormat="false" ht="15" hidden="false" customHeight="true" outlineLevel="0" collapsed="false">
      <c r="A6" s="3" t="s">
        <v>160</v>
      </c>
      <c r="B6" s="12" t="n">
        <v>0.4</v>
      </c>
      <c r="C6" s="19" t="n">
        <f aca="false">B6*Допущения!$B$6</f>
        <v>40</v>
      </c>
      <c r="D6" s="19" t="n">
        <f aca="false">C5</f>
        <v>10</v>
      </c>
      <c r="E6" s="19" t="n">
        <f aca="false">Допущения!$B$6-D6</f>
        <v>90</v>
      </c>
      <c r="F6" s="3" t="s">
        <v>161</v>
      </c>
    </row>
    <row r="7" customFormat="false" ht="15" hidden="false" customHeight="true" outlineLevel="0" collapsed="false">
      <c r="A7" s="3" t="s">
        <v>162</v>
      </c>
      <c r="B7" s="12" t="n">
        <v>0.7</v>
      </c>
      <c r="C7" s="19" t="n">
        <f aca="false">B7*Допущения!$B$6</f>
        <v>70</v>
      </c>
      <c r="D7" s="19" t="n">
        <f aca="false">C6</f>
        <v>40</v>
      </c>
      <c r="E7" s="19" t="n">
        <f aca="false">Допущения!$B$6-D7</f>
        <v>60</v>
      </c>
      <c r="F7" s="3" t="s">
        <v>163</v>
      </c>
    </row>
    <row r="8" customFormat="false" ht="15" hidden="false" customHeight="true" outlineLevel="0" collapsed="false">
      <c r="A8" s="3" t="s">
        <v>164</v>
      </c>
      <c r="B8" s="12" t="n">
        <v>1</v>
      </c>
      <c r="C8" s="19" t="n">
        <f aca="false">B8*Допущения!$B$6</f>
        <v>100</v>
      </c>
      <c r="D8" s="19" t="n">
        <f aca="false">C7</f>
        <v>70</v>
      </c>
      <c r="E8" s="19" t="n">
        <f aca="false">Допущения!$B$6-D8</f>
        <v>30</v>
      </c>
      <c r="F8" s="3" t="s">
        <v>165</v>
      </c>
    </row>
    <row r="9" customFormat="false" ht="15" hidden="false" customHeight="true" outlineLevel="0" collapsed="false">
      <c r="A9" s="14" t="s">
        <v>166</v>
      </c>
      <c r="B9" s="3"/>
      <c r="C9" s="3"/>
      <c r="D9" s="20" t="n">
        <f aca="false">SUM(D5:D8)/(4*Допущения!$B$6)</f>
        <v>0.3</v>
      </c>
      <c r="E9" s="3"/>
      <c r="F9" s="3"/>
    </row>
    <row r="10" customFormat="false" ht="15" hidden="false" customHeight="true" outlineLevel="0" collapsed="false">
      <c r="A10" s="14" t="s">
        <v>167</v>
      </c>
      <c r="B10" s="3"/>
      <c r="C10" s="3"/>
      <c r="D10" s="21" t="n">
        <f aca="false">1-D9</f>
        <v>0.7</v>
      </c>
      <c r="E10" s="3"/>
      <c r="F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</row>
    <row r="12" customFormat="false" ht="15" hidden="false" customHeight="true" outlineLevel="0" collapsed="false">
      <c r="A12" s="3" t="s">
        <v>168</v>
      </c>
      <c r="B12" s="3"/>
      <c r="C12" s="3"/>
      <c r="D12" s="3"/>
      <c r="E12" s="3"/>
      <c r="F12" s="3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  <col collapsed="false" customWidth="true" hidden="false" outlineLevel="0" max="5" min="5" style="1" width="15"/>
    <col collapsed="false" customWidth="true" hidden="false" outlineLevel="0" max="8" min="6" style="1" width="14"/>
    <col collapsed="false" customWidth="true" hidden="false" outlineLevel="0" max="9" min="9" style="1" width="15"/>
    <col collapsed="false" customWidth="true" hidden="false" outlineLevel="0" max="10" min="10" style="1" width="70"/>
  </cols>
  <sheetData>
    <row r="1" customFormat="false" ht="17.25" hidden="false" customHeight="true" outlineLevel="0" collapsed="false">
      <c r="A1" s="2" t="s">
        <v>169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22" t="s">
        <v>170</v>
      </c>
      <c r="B2" s="22"/>
      <c r="C2" s="22"/>
      <c r="D2" s="22"/>
      <c r="E2" s="22"/>
      <c r="F2" s="22"/>
      <c r="G2" s="22"/>
      <c r="H2" s="22"/>
      <c r="I2" s="22"/>
      <c r="J2" s="3"/>
    </row>
    <row r="3" customFormat="false" ht="15" hidden="false" customHeight="true" outlineLevel="0" collapsed="false">
      <c r="A3" s="3"/>
      <c r="B3" s="23" t="s">
        <v>128</v>
      </c>
      <c r="C3" s="23"/>
      <c r="D3" s="23"/>
      <c r="E3" s="23"/>
      <c r="F3" s="23" t="s">
        <v>139</v>
      </c>
      <c r="G3" s="23"/>
      <c r="H3" s="23"/>
      <c r="I3" s="23"/>
      <c r="J3" s="3"/>
    </row>
    <row r="4" customFormat="false" ht="15" hidden="false" customHeight="true" outlineLevel="0" collapsed="false">
      <c r="A4" s="5" t="s">
        <v>171</v>
      </c>
      <c r="B4" s="5" t="s">
        <v>172</v>
      </c>
      <c r="C4" s="5" t="s">
        <v>173</v>
      </c>
      <c r="D4" s="5" t="s">
        <v>174</v>
      </c>
      <c r="E4" s="5" t="s">
        <v>175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</row>
    <row r="5" customFormat="false" ht="43.5" hidden="false" customHeight="true" outlineLevel="0" collapsed="false">
      <c r="A5" s="8" t="s">
        <v>177</v>
      </c>
      <c r="B5" s="19" t="n">
        <f aca="false">(Допущения!$B$12/Допущения!$B$13+Допущения!$B$9*Допущения!$B$14/Допущения!$B$15)*Допущения!$B$6</f>
        <v>5400000</v>
      </c>
      <c r="C5" s="19" t="n">
        <f aca="false">(Допущения!$B$12/Допущения!$B$13+Допущения!$B$9*Допущения!$B$14/Допущения!$B$15)*Допущения!$B$6</f>
        <v>5400000</v>
      </c>
      <c r="D5" s="19" t="n">
        <f aca="false">(Допущения!$B$12/Допущения!$B$13+Допущения!$B$9*Допущения!$B$14/Допущения!$B$15)*Допущения!$B$6</f>
        <v>5400000</v>
      </c>
      <c r="E5" s="19" t="n">
        <f aca="false">SUM(B5:D5)</f>
        <v>16200000</v>
      </c>
      <c r="F5" s="19" t="n">
        <f aca="false">Допущения!$B$6*(Допущения!$B$9*Допущения!$B$21*(1+Допущения!$B$22)+Допущения!$B$23)+Допущения!$B$24*Допущения!$B$25*Допущения!$B$26*Допущения!$B$8+(Допущения!$B$12/Допущения!$B$13+Допущения!$B$9*Допущения!$B$14/Допущения!$B$15)*Допущения!$B$6*Раскатка!$D$10</f>
        <v>15876000</v>
      </c>
      <c r="G5" s="19" t="n">
        <f aca="false">Допущения!$B$6*Допущения!$B$9*Допущения!$B$21*Допущения!$B$27</f>
        <v>500000</v>
      </c>
      <c r="H5" s="19" t="n">
        <f aca="false">Допущения!$B$6*Допущения!$B$9*Допущения!$B$21*Допущения!$B$27</f>
        <v>500000</v>
      </c>
      <c r="I5" s="19" t="n">
        <f aca="false">SUM(F5:H5)</f>
        <v>16876000</v>
      </c>
      <c r="J5" s="8" t="s">
        <v>178</v>
      </c>
    </row>
    <row r="6" customFormat="false" ht="43.5" hidden="false" customHeight="true" outlineLevel="0" collapsed="false">
      <c r="A6" s="8" t="s">
        <v>179</v>
      </c>
      <c r="B6" s="19" t="n">
        <f aca="false">Допущения!$B$16*Допущения!$B$6</f>
        <v>4000000</v>
      </c>
      <c r="C6" s="19" t="n">
        <f aca="false">Допущения!$B$16*Допущения!$B$6</f>
        <v>4000000</v>
      </c>
      <c r="D6" s="19" t="n">
        <f aca="false">Допущения!$B$16*Допущения!$B$6</f>
        <v>4000000</v>
      </c>
      <c r="E6" s="19" t="n">
        <f aca="false">SUM(B6:D6)</f>
        <v>12000000</v>
      </c>
      <c r="F6" s="19" t="n">
        <f aca="false">Допущения!$B$16*Допущения!$B$6+(Допущения!$B$9*(Допущения!$B$28+Допущения!$B$29)*12)*Допущения!$B$6*Раскатка!$D$9</f>
        <v>6016000</v>
      </c>
      <c r="G6" s="19" t="n">
        <f aca="false">Допущения!$B$9*(Допущения!$B$28+Допущения!$B$29)*12*Допущения!$B$6</f>
        <v>6720000</v>
      </c>
      <c r="H6" s="19" t="n">
        <f aca="false">Допущения!$B$9*(Допущения!$B$28+Допущения!$B$29)*12*Допущения!$B$6</f>
        <v>6720000</v>
      </c>
      <c r="I6" s="19" t="n">
        <f aca="false">SUM(F6:H6)</f>
        <v>19456000</v>
      </c>
      <c r="J6" s="8" t="s">
        <v>180</v>
      </c>
    </row>
    <row r="7" customFormat="false" ht="43.5" hidden="false" customHeight="true" outlineLevel="0" collapsed="false">
      <c r="A7" s="8" t="s">
        <v>181</v>
      </c>
      <c r="B7" s="19" t="n">
        <f aca="false">0</f>
        <v>0</v>
      </c>
      <c r="C7" s="19" t="n">
        <f aca="false">0</f>
        <v>0</v>
      </c>
      <c r="D7" s="19" t="n">
        <f aca="false">0</f>
        <v>0</v>
      </c>
      <c r="E7" s="19" t="n">
        <f aca="false">SUM(B7:D7)</f>
        <v>0</v>
      </c>
      <c r="F7" s="19" t="n">
        <f aca="false">(Допущения!$B$33+Допущения!$B$34)*12*Допущения!$B$8</f>
        <v>840000</v>
      </c>
      <c r="G7" s="19" t="n">
        <f aca="false">(Допущения!$B$33+Допущения!$B$34)*12*Допущения!$B$8</f>
        <v>840000</v>
      </c>
      <c r="H7" s="19" t="n">
        <f aca="false">(Допущения!$B$33+Допущения!$B$34)*12*Допущения!$B$8</f>
        <v>840000</v>
      </c>
      <c r="I7" s="19" t="n">
        <f aca="false">SUM(F7:H7)</f>
        <v>2520000</v>
      </c>
      <c r="J7" s="8" t="s">
        <v>182</v>
      </c>
    </row>
    <row r="8" customFormat="false" ht="43.5" hidden="false" customHeight="true" outlineLevel="0" collapsed="false">
      <c r="A8" s="8" t="s">
        <v>183</v>
      </c>
      <c r="B8" s="19" t="n">
        <f aca="false">Штат!$E$15*Допущения!$B$10*12</f>
        <v>10366800</v>
      </c>
      <c r="C8" s="19" t="n">
        <f aca="false">Штат!$E$15*Допущения!$B$10*12</f>
        <v>10366800</v>
      </c>
      <c r="D8" s="19" t="n">
        <f aca="false">Штат!$E$15*Допущения!$B$10*12</f>
        <v>10366800</v>
      </c>
      <c r="E8" s="19" t="n">
        <f aca="false">SUM(B8:D8)</f>
        <v>31100400</v>
      </c>
      <c r="F8" s="19" t="n">
        <f aca="false">(Штат!$E$15+Штат!$E$22)*Допущения!$B$10*12</f>
        <v>14114400</v>
      </c>
      <c r="G8" s="19" t="n">
        <f aca="false">Штат!$E$22*Допущения!$B$10*12</f>
        <v>3747600</v>
      </c>
      <c r="H8" s="19" t="n">
        <f aca="false">Штат!$E$22*Допущения!$B$10*12</f>
        <v>3747600</v>
      </c>
      <c r="I8" s="19" t="n">
        <f aca="false">SUM(F8:H8)</f>
        <v>21609600</v>
      </c>
      <c r="J8" s="8" t="s">
        <v>184</v>
      </c>
    </row>
    <row r="9" customFormat="false" ht="43.5" hidden="false" customHeight="true" outlineLevel="0" collapsed="false">
      <c r="A9" s="8" t="s">
        <v>185</v>
      </c>
      <c r="B9" s="19" t="n">
        <f aca="false">Допущения!$B$17*12*Допущения!$B$6</f>
        <v>3600000</v>
      </c>
      <c r="C9" s="19" t="n">
        <f aca="false">Допущения!$B$17*12*Допущения!$B$6</f>
        <v>3600000</v>
      </c>
      <c r="D9" s="19" t="n">
        <f aca="false">Допущения!$B$17*12*Допущения!$B$6</f>
        <v>3600000</v>
      </c>
      <c r="E9" s="19" t="n">
        <f aca="false">SUM(B9:D9)</f>
        <v>10800000</v>
      </c>
      <c r="F9" s="19" t="n">
        <f aca="false">Допущения!$B$17*12*Допущения!$B$6+Допущения!$B$30*12*Допущения!$B$6*Раскатка!$D$9</f>
        <v>3960000</v>
      </c>
      <c r="G9" s="19" t="n">
        <f aca="false">(Допущения!$B$17+Допущения!$B$30)*12*Допущения!$B$6</f>
        <v>4800000</v>
      </c>
      <c r="H9" s="19" t="n">
        <f aca="false">(Допущения!$B$17+Допущения!$B$30)*12*Допущения!$B$6</f>
        <v>4800000</v>
      </c>
      <c r="I9" s="19" t="n">
        <f aca="false">SUM(F9:H9)</f>
        <v>13560000</v>
      </c>
      <c r="J9" s="8" t="s">
        <v>186</v>
      </c>
    </row>
    <row r="10" customFormat="false" ht="43.5" hidden="false" customHeight="true" outlineLevel="0" collapsed="false">
      <c r="A10" s="8" t="s">
        <v>187</v>
      </c>
      <c r="B10" s="19" t="n">
        <f aca="false">Допущения!$B$18*Допущения!$B$19*Допущения!$B$6</f>
        <v>3000000</v>
      </c>
      <c r="C10" s="19" t="n">
        <f aca="false">Допущения!$B$18*Допущения!$B$19*Допущения!$B$6</f>
        <v>3000000</v>
      </c>
      <c r="D10" s="19" t="n">
        <f aca="false">Допущения!$B$18*Допущения!$B$19*Допущения!$B$6</f>
        <v>3000000</v>
      </c>
      <c r="E10" s="19" t="n">
        <f aca="false">SUM(B10:D10)</f>
        <v>9000000</v>
      </c>
      <c r="F10" s="19" t="n">
        <f aca="false">Допущения!$B$18*Допущения!$B$19*Допущения!$B$6*Раскатка!$D$10+Допущения!$B$31*Допущения!$B$32*Допущения!$B$6*Раскатка!$D$9</f>
        <v>2340000</v>
      </c>
      <c r="G10" s="19" t="n">
        <f aca="false">Допущения!$B$31*Допущения!$B$32*Допущения!$B$6</f>
        <v>800000</v>
      </c>
      <c r="H10" s="19" t="n">
        <f aca="false">Допущения!$B$31*Допущения!$B$32*Допущения!$B$6</f>
        <v>800000</v>
      </c>
      <c r="I10" s="19" t="n">
        <f aca="false">SUM(F10:H10)</f>
        <v>3940000</v>
      </c>
      <c r="J10" s="8" t="s">
        <v>188</v>
      </c>
    </row>
    <row r="11" customFormat="false" ht="43.5" hidden="false" customHeight="true" outlineLevel="0" collapsed="false">
      <c r="A11" s="8" t="s">
        <v>189</v>
      </c>
      <c r="B11" s="19" t="n">
        <f aca="false">0</f>
        <v>0</v>
      </c>
      <c r="C11" s="19" t="n">
        <f aca="false">0</f>
        <v>0</v>
      </c>
      <c r="D11" s="19" t="n">
        <f aca="false">0</f>
        <v>0</v>
      </c>
      <c r="E11" s="19" t="n">
        <f aca="false">SUM(B11:D11)</f>
        <v>0</v>
      </c>
      <c r="F11" s="19" t="n">
        <f aca="false">Допущения!$B$35*Допущения!$B$8+Допущения!$B$36*Допущения!$B$6</f>
        <v>5000000</v>
      </c>
      <c r="G11" s="19" t="n">
        <f aca="false">0</f>
        <v>0</v>
      </c>
      <c r="H11" s="19" t="n">
        <f aca="false">0</f>
        <v>0</v>
      </c>
      <c r="I11" s="19" t="n">
        <f aca="false">SUM(F11:H11)</f>
        <v>5000000</v>
      </c>
      <c r="J11" s="8" t="s">
        <v>190</v>
      </c>
    </row>
    <row r="12" customFormat="false" ht="43.5" hidden="false" customHeight="true" outlineLevel="0" collapsed="false">
      <c r="A12" s="8" t="s">
        <v>191</v>
      </c>
      <c r="B12" s="19" t="n">
        <f aca="false">0</f>
        <v>0</v>
      </c>
      <c r="C12" s="19" t="n">
        <f aca="false">0</f>
        <v>0</v>
      </c>
      <c r="D12" s="19" t="n">
        <f aca="false">0</f>
        <v>0</v>
      </c>
      <c r="E12" s="19" t="n">
        <f aca="false">SUM(B12:D12)</f>
        <v>0</v>
      </c>
      <c r="F12" s="19" t="n">
        <f aca="false">0</f>
        <v>0</v>
      </c>
      <c r="G12" s="19" t="n">
        <f aca="false">Штат!$E$24*Допущения!$B$10/(1+Допущения!$B$38)*Допущения!$B$37</f>
        <v>848615.384615385</v>
      </c>
      <c r="H12" s="19" t="n">
        <f aca="false">0</f>
        <v>0</v>
      </c>
      <c r="I12" s="19" t="n">
        <f aca="false">SUM(F12:H12)</f>
        <v>848615.384615385</v>
      </c>
      <c r="J12" s="8" t="s">
        <v>192</v>
      </c>
    </row>
    <row r="13" customFormat="false" ht="15" hidden="false" customHeight="true" outlineLevel="0" collapsed="false">
      <c r="A13" s="14" t="s">
        <v>193</v>
      </c>
      <c r="B13" s="24" t="n">
        <f aca="false">SUM(B5:B12)</f>
        <v>26366800</v>
      </c>
      <c r="C13" s="24" t="n">
        <f aca="false">SUM(C5:C12)</f>
        <v>26366800</v>
      </c>
      <c r="D13" s="24" t="n">
        <f aca="false">SUM(D5:D12)</f>
        <v>26366800</v>
      </c>
      <c r="E13" s="24" t="n">
        <f aca="false">SUM(E5:E12)</f>
        <v>79100400</v>
      </c>
      <c r="F13" s="24" t="n">
        <f aca="false">SUM(F5:F12)</f>
        <v>48146400</v>
      </c>
      <c r="G13" s="24" t="n">
        <f aca="false">SUM(G5:G12)</f>
        <v>18256215.3846154</v>
      </c>
      <c r="H13" s="24" t="n">
        <f aca="false">SUM(H5:H12)</f>
        <v>17407600</v>
      </c>
      <c r="I13" s="24" t="n">
        <f aca="false">SUM(I5:I12)</f>
        <v>83810215.3846154</v>
      </c>
      <c r="J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14" t="s">
        <v>194</v>
      </c>
      <c r="B15" s="19" t="n">
        <f aca="false">B13-F13</f>
        <v>-21779600</v>
      </c>
      <c r="C15" s="19" t="n">
        <f aca="false">C13-G13</f>
        <v>8110584.61538462</v>
      </c>
      <c r="D15" s="19" t="n">
        <f aca="false">D13-H13</f>
        <v>8959200</v>
      </c>
      <c r="E15" s="19" t="n">
        <f aca="false">E13-I13</f>
        <v>-4709815.38461539</v>
      </c>
      <c r="F15" s="3" t="s">
        <v>195</v>
      </c>
      <c r="G15" s="3"/>
      <c r="H15" s="3"/>
      <c r="I15" s="3"/>
      <c r="J15" s="3"/>
    </row>
    <row r="16" customFormat="false" ht="15" hidden="false" customHeight="true" outlineLevel="0" collapsed="false">
      <c r="A16" s="14" t="s">
        <v>196</v>
      </c>
      <c r="B16" s="21" t="n">
        <f aca="false">IF(B13=0,0,(B13-F13)/B13)</f>
        <v>-0.826023635784396</v>
      </c>
      <c r="C16" s="21" t="n">
        <f aca="false">IF(C13=0,0,(C13-G13)/C13)</f>
        <v>0.307605952007245</v>
      </c>
      <c r="D16" s="21" t="n">
        <f aca="false">IF(D13=0,0,(D13-H13)/D13)</f>
        <v>0.339790949224024</v>
      </c>
      <c r="E16" s="21" t="n">
        <f aca="false">IF(E13=0,0,(E13-I13)/E13)</f>
        <v>-0.0595422448510424</v>
      </c>
      <c r="F16" s="3"/>
      <c r="G16" s="3"/>
      <c r="H16" s="3"/>
      <c r="I16" s="3"/>
      <c r="J16" s="3"/>
    </row>
  </sheetData>
  <mergeCells count="3">
    <mergeCell ref="A2:I2"/>
    <mergeCell ref="B3:E3"/>
    <mergeCell ref="F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55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197</v>
      </c>
      <c r="B1" s="3"/>
      <c r="C1" s="3"/>
      <c r="D1" s="3"/>
    </row>
    <row r="2" customFormat="false" ht="61.5" hidden="false" customHeight="true" outlineLevel="0" collapsed="false">
      <c r="A2" s="4" t="s">
        <v>198</v>
      </c>
      <c r="B2" s="4"/>
      <c r="C2" s="4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5" t="s">
        <v>199</v>
      </c>
      <c r="B4" s="5" t="s">
        <v>3</v>
      </c>
      <c r="C4" s="5" t="s">
        <v>176</v>
      </c>
      <c r="D4" s="3"/>
    </row>
    <row r="5" customFormat="false" ht="26.25" hidden="false" customHeight="true" outlineLevel="0" collapsed="false">
      <c r="A5" s="8" t="s">
        <v>200</v>
      </c>
      <c r="B5" s="19" t="n">
        <f aca="false">Допущения!$B$43*Допущения!$B$44*Допущения!$B$45*Допущения!$B$48</f>
        <v>562500</v>
      </c>
      <c r="C5" s="8" t="s">
        <v>201</v>
      </c>
      <c r="D5" s="3"/>
    </row>
    <row r="6" customFormat="false" ht="15" hidden="false" customHeight="true" outlineLevel="0" collapsed="false">
      <c r="A6" s="8" t="s">
        <v>202</v>
      </c>
      <c r="B6" s="19" t="n">
        <f aca="false">Допущения!$B$46-Допущения!$B$47-Допущения!$B$50</f>
        <v>120000</v>
      </c>
      <c r="C6" s="8" t="s">
        <v>203</v>
      </c>
      <c r="D6" s="3"/>
    </row>
    <row r="7" customFormat="false" ht="26.25" hidden="false" customHeight="true" outlineLevel="0" collapsed="false">
      <c r="A7" s="8" t="s">
        <v>204</v>
      </c>
      <c r="B7" s="19" t="n">
        <f aca="false">-(Допущения!$B$9*Допущения!$B$21+Допущения!$B$23)</f>
        <v>-115000</v>
      </c>
      <c r="C7" s="8" t="s">
        <v>205</v>
      </c>
      <c r="D7" s="3"/>
    </row>
    <row r="8" customFormat="false" ht="15" hidden="false" customHeight="true" outlineLevel="0" collapsed="false">
      <c r="A8" s="25" t="s">
        <v>206</v>
      </c>
      <c r="B8" s="24" t="n">
        <f aca="false">SUM(B5:B7)</f>
        <v>567500</v>
      </c>
      <c r="C8" s="8"/>
      <c r="D8" s="3"/>
    </row>
    <row r="9" customFormat="false" ht="15" hidden="false" customHeight="true" outlineLevel="0" collapsed="false">
      <c r="A9" s="8" t="s">
        <v>207</v>
      </c>
      <c r="B9" s="17" t="n">
        <f aca="false">Допущения!$B$42*Допущения!$B$8</f>
        <v>24</v>
      </c>
      <c r="C9" s="8" t="s">
        <v>208</v>
      </c>
      <c r="D9" s="3"/>
    </row>
    <row r="10" customFormat="false" ht="15" hidden="false" customHeight="true" outlineLevel="0" collapsed="false">
      <c r="A10" s="25" t="s">
        <v>209</v>
      </c>
      <c r="B10" s="24" t="n">
        <f aca="false">B8*B9</f>
        <v>13620000</v>
      </c>
      <c r="C10" s="8"/>
      <c r="D10" s="3"/>
    </row>
    <row r="11" customFormat="false" ht="15" hidden="false" customHeight="true" outlineLevel="0" collapsed="false">
      <c r="A11" s="3"/>
      <c r="B11" s="3"/>
      <c r="C11" s="3"/>
      <c r="D11" s="3"/>
    </row>
    <row r="12" customFormat="false" ht="15" hidden="false" customHeight="true" outlineLevel="0" collapsed="false">
      <c r="A12" s="5"/>
      <c r="B12" s="5" t="s">
        <v>172</v>
      </c>
      <c r="C12" s="5" t="s">
        <v>173</v>
      </c>
      <c r="D12" s="5" t="s">
        <v>174</v>
      </c>
    </row>
    <row r="13" customFormat="false" ht="15" hidden="false" customHeight="true" outlineLevel="0" collapsed="false">
      <c r="A13" s="3" t="s">
        <v>210</v>
      </c>
      <c r="B13" s="19" t="n">
        <f aca="false">B10*Допущения!$B$49</f>
        <v>6810000</v>
      </c>
      <c r="C13" s="19" t="n">
        <f aca="false">B10</f>
        <v>13620000</v>
      </c>
      <c r="D13" s="19" t="n">
        <f aca="false">B10</f>
        <v>13620000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211</v>
      </c>
      <c r="B1" s="3"/>
      <c r="C1" s="3"/>
      <c r="D1" s="3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5" t="s">
        <v>199</v>
      </c>
      <c r="B3" s="5" t="s">
        <v>172</v>
      </c>
      <c r="C3" s="5" t="s">
        <v>173</v>
      </c>
      <c r="D3" s="5" t="s">
        <v>174</v>
      </c>
    </row>
    <row r="4" customFormat="false" ht="15" hidden="false" customHeight="true" outlineLevel="0" collapsed="false">
      <c r="A4" s="8" t="s">
        <v>212</v>
      </c>
      <c r="B4" s="26" t="n">
        <f aca="false">TCO!$B$15</f>
        <v>-21779600</v>
      </c>
      <c r="C4" s="26" t="n">
        <f aca="false">TCO!$C$15</f>
        <v>8110584.61538462</v>
      </c>
      <c r="D4" s="26" t="n">
        <f aca="false">TCO!$D$15</f>
        <v>8959200</v>
      </c>
    </row>
    <row r="5" customFormat="false" ht="15" hidden="false" customHeight="true" outlineLevel="0" collapsed="false">
      <c r="A5" s="8" t="s">
        <v>213</v>
      </c>
      <c r="B5" s="26" t="n">
        <f aca="false">Онбординг!$B$13</f>
        <v>6810000</v>
      </c>
      <c r="C5" s="26" t="n">
        <f aca="false">Онбординг!$C$13</f>
        <v>13620000</v>
      </c>
      <c r="D5" s="26" t="n">
        <f aca="false">Онбординг!$D$13</f>
        <v>13620000</v>
      </c>
    </row>
    <row r="6" customFormat="false" ht="15" hidden="false" customHeight="true" outlineLevel="0" collapsed="false">
      <c r="A6" s="25" t="s">
        <v>214</v>
      </c>
      <c r="B6" s="19" t="n">
        <f aca="false">B4+B5</f>
        <v>-14969600</v>
      </c>
      <c r="C6" s="19" t="n">
        <f aca="false">C4+C5</f>
        <v>21730584.6153846</v>
      </c>
      <c r="D6" s="19" t="n">
        <f aca="false">D4+D5</f>
        <v>22579200</v>
      </c>
    </row>
    <row r="7" customFormat="false" ht="15" hidden="false" customHeight="true" outlineLevel="0" collapsed="false">
      <c r="A7" s="8" t="s">
        <v>215</v>
      </c>
      <c r="B7" s="19" t="n">
        <f aca="false">B4</f>
        <v>-21779600</v>
      </c>
      <c r="C7" s="19" t="n">
        <f aca="false">B7+C4</f>
        <v>-13669015.3846154</v>
      </c>
      <c r="D7" s="19" t="n">
        <f aca="false">C7+D4</f>
        <v>-4709815.38461538</v>
      </c>
    </row>
    <row r="8" customFormat="false" ht="15" hidden="false" customHeight="true" outlineLevel="0" collapsed="false">
      <c r="A8" s="25" t="s">
        <v>216</v>
      </c>
      <c r="B8" s="19" t="n">
        <f aca="false">B6</f>
        <v>-14969600</v>
      </c>
      <c r="C8" s="19" t="n">
        <f aca="false">B8+C6</f>
        <v>6760984.61538462</v>
      </c>
      <c r="D8" s="19" t="n">
        <f aca="false">C8+D6</f>
        <v>29340184.6153846</v>
      </c>
    </row>
    <row r="9" customFormat="false" ht="15" hidden="false" customHeight="true" outlineLevel="0" collapsed="false">
      <c r="A9" s="3"/>
      <c r="B9" s="3"/>
      <c r="C9" s="3"/>
      <c r="D9" s="3"/>
    </row>
    <row r="10" customFormat="false" ht="15" hidden="false" customHeight="true" outlineLevel="0" collapsed="false">
      <c r="A10" s="14" t="s">
        <v>217</v>
      </c>
      <c r="B10" s="3"/>
      <c r="C10" s="3"/>
      <c r="D10" s="3"/>
    </row>
    <row r="11" customFormat="false" ht="15" hidden="false" customHeight="true" outlineLevel="0" collapsed="false">
      <c r="A11" s="3" t="s">
        <v>218</v>
      </c>
      <c r="B11" s="19" t="n">
        <f aca="false">Допущения!$B$6*(Допущения!$B$9*Допущения!$B$21*(1+Допущения!$B$22)+Допущения!$B$23)+Допущения!$B$24*Допущения!$B$25*Допущения!$B$26*Допущения!$B$8</f>
        <v>12096000</v>
      </c>
      <c r="C11" s="3"/>
      <c r="D11" s="3"/>
    </row>
    <row r="12" customFormat="false" ht="15" hidden="false" customHeight="true" outlineLevel="0" collapsed="false">
      <c r="A12" s="3" t="s">
        <v>219</v>
      </c>
      <c r="B12" s="19" t="n">
        <f aca="false">TCO!$F$11</f>
        <v>5000000</v>
      </c>
      <c r="C12" s="3"/>
      <c r="D12" s="3"/>
    </row>
    <row r="13" customFormat="false" ht="15" hidden="false" customHeight="true" outlineLevel="0" collapsed="false">
      <c r="A13" s="3" t="s">
        <v>220</v>
      </c>
      <c r="B13" s="19" t="n">
        <f aca="false">Штат!$E$22*Допущения!$B$10*12</f>
        <v>3747600</v>
      </c>
      <c r="C13" s="3"/>
      <c r="D13" s="3"/>
    </row>
    <row r="14" customFormat="false" ht="15" hidden="false" customHeight="true" outlineLevel="0" collapsed="false">
      <c r="A14" s="3" t="s">
        <v>221</v>
      </c>
      <c r="B14" s="19" t="n">
        <f aca="false">TCO!$G$12</f>
        <v>848615.384615385</v>
      </c>
      <c r="C14" s="3"/>
      <c r="D14" s="3"/>
    </row>
    <row r="15" customFormat="false" ht="15" hidden="false" customHeight="true" outlineLevel="0" collapsed="false">
      <c r="A15" s="14" t="s">
        <v>222</v>
      </c>
      <c r="B15" s="24" t="n">
        <f aca="false">SUM(B11:B14)</f>
        <v>21692215.3846154</v>
      </c>
      <c r="C15" s="3"/>
      <c r="D15" s="3"/>
    </row>
    <row r="16" customFormat="false" ht="15" hidden="false" customHeight="true" outlineLevel="0" collapsed="false">
      <c r="A16" s="3"/>
      <c r="B16" s="3"/>
      <c r="C16" s="3"/>
      <c r="D16" s="3"/>
    </row>
    <row r="17" customFormat="false" ht="26.25" hidden="false" customHeight="true" outlineLevel="0" collapsed="false">
      <c r="A17" s="5" t="s">
        <v>223</v>
      </c>
      <c r="B17" s="5" t="s">
        <v>224</v>
      </c>
      <c r="C17" s="5" t="s">
        <v>225</v>
      </c>
      <c r="D17" s="3"/>
    </row>
    <row r="18" customFormat="false" ht="15" hidden="false" customHeight="true" outlineLevel="0" collapsed="false">
      <c r="A18" s="8" t="s">
        <v>226</v>
      </c>
      <c r="B18" s="27" t="n">
        <f aca="false">D7</f>
        <v>-4709815.38461538</v>
      </c>
      <c r="C18" s="27" t="n">
        <f aca="false">D8</f>
        <v>29340184.6153846</v>
      </c>
      <c r="D18" s="3"/>
    </row>
    <row r="19" customFormat="false" ht="15" hidden="false" customHeight="true" outlineLevel="0" collapsed="false">
      <c r="A19" s="8" t="s">
        <v>227</v>
      </c>
      <c r="B19" s="20" t="n">
        <f aca="false">IF(B15=0,0,D7/B15)</f>
        <v>-0.217120072851374</v>
      </c>
      <c r="C19" s="20" t="n">
        <f aca="false">IF(B15=0,0,D8/B15)</f>
        <v>1.35256745773386</v>
      </c>
      <c r="D19" s="3"/>
    </row>
    <row r="20" customFormat="false" ht="15" hidden="false" customHeight="true" outlineLevel="0" collapsed="false">
      <c r="A20" s="8" t="s">
        <v>228</v>
      </c>
      <c r="B20" s="28" t="n">
        <f aca="false">IF(B7&gt;=0,"до 12",IF(C7&gt;=0,12+12*(-B7)/C4,IF(D7&gt;=0,24+12*(-C7)/D4,IF(D4&gt;0,36+12*(-D7)/D4,"не окупается"))))</f>
        <v>42.3083517072266</v>
      </c>
      <c r="C20" s="28" t="n">
        <f aca="false">IF(B8&gt;=0,"до 12",IF(C8&gt;=0,12+12*(-B8)/C6,IF(D8&gt;=0,24+12*(-C8)/D6,IF(D6&gt;0,36+12*(-D8)/D6,"не окупается"))))</f>
        <v>20.2664688124784</v>
      </c>
      <c r="D20" s="3"/>
    </row>
    <row r="21" customFormat="false" ht="15" hidden="false" customHeight="true" outlineLevel="0" collapsed="false">
      <c r="A21" s="8" t="s">
        <v>229</v>
      </c>
      <c r="B21" s="27" t="n">
        <f aca="false">B4/(1+Допущения!$B$40)+C4/(1+Допущения!$B$40)^2+D4/(1+Допущения!$B$40)^3</f>
        <v>-7179546.83405202</v>
      </c>
      <c r="C21" s="27" t="n">
        <f aca="false">B6/(1+Допущения!$B$40)+C6/(1+Допущения!$B$40)^2+D6/(1+Допущения!$B$40)^3</f>
        <v>16662864.0258704</v>
      </c>
      <c r="D21" s="3"/>
    </row>
    <row r="22" customFormat="false" ht="15" hidden="false" customHeight="true" outlineLevel="0" collapsed="false">
      <c r="A22" s="8" t="s">
        <v>230</v>
      </c>
      <c r="B22" s="20" t="n">
        <f aca="false">TCO!$D$16</f>
        <v>0.339790949224024</v>
      </c>
      <c r="C22" s="29"/>
      <c r="D22" s="3"/>
    </row>
    <row r="23" customFormat="false" ht="15" hidden="false" customHeight="true" outlineLevel="0" collapsed="false">
      <c r="A23" s="3"/>
      <c r="B23" s="3"/>
      <c r="C23" s="3"/>
      <c r="D23" s="3"/>
    </row>
    <row r="24" customFormat="false" ht="45" hidden="false" customHeight="true" outlineLevel="0" collapsed="false">
      <c r="A24" s="4" t="s">
        <v>231</v>
      </c>
      <c r="B24" s="4"/>
      <c r="C24" s="4"/>
      <c r="D24" s="4"/>
    </row>
    <row r="25" customFormat="false" ht="15" hidden="false" customHeight="true" outlineLevel="0" collapsed="false">
      <c r="A25" s="3"/>
      <c r="B25" s="3"/>
      <c r="C25" s="3"/>
      <c r="D25" s="3"/>
    </row>
    <row r="26" customFormat="false" ht="26.25" hidden="false" customHeight="true" outlineLevel="0" collapsed="false">
      <c r="A26" s="5" t="s">
        <v>232</v>
      </c>
      <c r="B26" s="5" t="s">
        <v>233</v>
      </c>
      <c r="C26" s="5" t="s">
        <v>234</v>
      </c>
      <c r="D26" s="5" t="s">
        <v>235</v>
      </c>
    </row>
    <row r="27" customFormat="false" ht="15" hidden="false" customHeight="true" outlineLevel="0" collapsed="false">
      <c r="A27" s="3" t="s">
        <v>236</v>
      </c>
      <c r="B27" s="3"/>
      <c r="C27" s="3"/>
      <c r="D27" s="12" t="n">
        <v>0.4</v>
      </c>
    </row>
    <row r="28" customFormat="false" ht="26.25" hidden="false" customHeight="true" outlineLevel="0" collapsed="false">
      <c r="A28" s="8" t="s">
        <v>237</v>
      </c>
      <c r="B28" s="19" t="n">
        <f aca="false">TCO!$D$8+TCO!$D$10</f>
        <v>13366800</v>
      </c>
      <c r="C28" s="19" t="n">
        <f aca="false">TCO!$H$8+TCO!$H$10</f>
        <v>4547600</v>
      </c>
      <c r="D28" s="30" t="n">
        <f aca="false">IF(B28=0,0,1-C28/B28)</f>
        <v>0.659783942304815</v>
      </c>
    </row>
    <row r="29" customFormat="false" ht="26.25" hidden="false" customHeight="true" outlineLevel="0" collapsed="false">
      <c r="A29" s="8" t="s">
        <v>238</v>
      </c>
      <c r="B29" s="19" t="n">
        <f aca="false">TCO!$D$13</f>
        <v>26366800</v>
      </c>
      <c r="C29" s="19" t="n">
        <f aca="false">TCO!$H$13</f>
        <v>17407600</v>
      </c>
      <c r="D29" s="30" t="n">
        <f aca="false">IF(B29=0,0,1-C29/B29)</f>
        <v>0.339790949224024</v>
      </c>
    </row>
    <row r="30" customFormat="false" ht="26.25" hidden="false" customHeight="true" outlineLevel="0" collapsed="false">
      <c r="A30" s="8" t="s">
        <v>239</v>
      </c>
      <c r="B30" s="3"/>
      <c r="C30" s="19" t="n">
        <f aca="false">MAX(0,C29-(1-D27)*B29)</f>
        <v>1587520</v>
      </c>
      <c r="D30" s="3"/>
    </row>
    <row r="31" customFormat="false" ht="15" hidden="false" customHeight="true" outlineLevel="0" collapsed="false">
      <c r="A31" s="3"/>
      <c r="B31" s="3"/>
      <c r="C31" s="3"/>
      <c r="D31" s="3"/>
    </row>
    <row r="32" customFormat="false" ht="15" hidden="false" customHeight="true" outlineLevel="0" collapsed="false">
      <c r="A32" s="14" t="s">
        <v>240</v>
      </c>
      <c r="B32" s="3"/>
      <c r="C32" s="3"/>
      <c r="D32" s="3"/>
    </row>
    <row r="33" customFormat="false" ht="15" hidden="false" customHeight="true" outlineLevel="0" collapsed="false">
      <c r="A33" s="8" t="s">
        <v>241</v>
      </c>
      <c r="B33" s="3"/>
      <c r="C33" s="19" t="n">
        <f aca="false">Допущения!$B$28-C30/(Допущения!$B$9*12*Допущения!$B$6)</f>
        <v>1838.53333333333</v>
      </c>
      <c r="D33" s="3"/>
    </row>
    <row r="34" customFormat="false" ht="26.25" hidden="false" customHeight="true" outlineLevel="0" collapsed="false">
      <c r="A34" s="8" t="s">
        <v>242</v>
      </c>
      <c r="B34" s="3"/>
      <c r="C34" s="19" t="n">
        <f aca="false">Допущения!$B$28-MAX(0,C30-Допущения!$B$9*Допущения!$B$29*12*Допущения!$B$6)/(Допущения!$B$9*12*Допущения!$B$6)</f>
        <v>2138.53333333333</v>
      </c>
      <c r="D34" s="3"/>
    </row>
    <row r="35" customFormat="false" ht="15" hidden="false" customHeight="true" outlineLevel="0" collapsed="false">
      <c r="A35" s="8" t="s">
        <v>243</v>
      </c>
      <c r="B35" s="3"/>
      <c r="C35" s="16" t="n">
        <f aca="false">Штат!$E$22-C30/(Допущения!$B$10*12)</f>
        <v>1.20004444444444</v>
      </c>
      <c r="D35" s="3"/>
    </row>
    <row r="36" customFormat="false" ht="15" hidden="false" customHeight="true" outlineLevel="0" collapsed="false">
      <c r="A36" s="3"/>
      <c r="B36" s="3"/>
      <c r="C36" s="3"/>
      <c r="D36" s="3"/>
    </row>
    <row r="37" customFormat="false" ht="45" hidden="false" customHeight="true" outlineLevel="0" collapsed="false">
      <c r="A37" s="4" t="s">
        <v>244</v>
      </c>
      <c r="B37" s="4"/>
      <c r="C37" s="4"/>
      <c r="D37" s="4"/>
    </row>
  </sheetData>
  <mergeCells count="2">
    <mergeCell ref="A24:D24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4"/>
    <col collapsed="false" customWidth="true" hidden="false" outlineLevel="0" max="9" min="8" style="1" width="18"/>
  </cols>
  <sheetData>
    <row r="1" customFormat="false" ht="17.25" hidden="false" customHeight="true" outlineLevel="0" collapsed="false">
      <c r="A1" s="2" t="s">
        <v>245</v>
      </c>
      <c r="B1" s="3"/>
      <c r="C1" s="3"/>
      <c r="D1" s="3"/>
      <c r="E1" s="3"/>
      <c r="F1" s="3"/>
      <c r="G1" s="3"/>
      <c r="H1" s="3"/>
      <c r="I1" s="3"/>
    </row>
    <row r="2" customFormat="false" ht="31.5" hidden="false" customHeight="true" outlineLevel="0" collapsed="false">
      <c r="A2" s="4" t="s">
        <v>246</v>
      </c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14" t="s">
        <v>247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3" t="s">
        <v>248</v>
      </c>
      <c r="B4" s="31" t="n">
        <v>1</v>
      </c>
      <c r="C4" s="3"/>
      <c r="D4" s="3"/>
      <c r="E4" s="3"/>
      <c r="F4" s="3"/>
      <c r="G4" s="3"/>
      <c r="H4" s="3"/>
      <c r="I4" s="3"/>
    </row>
    <row r="5" customFormat="false" ht="15" hidden="false" customHeight="true" outlineLevel="0" collapsed="false">
      <c r="A5" s="3" t="s">
        <v>249</v>
      </c>
      <c r="B5" s="12" t="n">
        <v>0.3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A6" s="3" t="s">
        <v>250</v>
      </c>
      <c r="B6" s="12" t="n">
        <v>0.3</v>
      </c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A7" s="3" t="s">
        <v>251</v>
      </c>
      <c r="B7" s="31" t="n">
        <v>10</v>
      </c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A8" s="3" t="s">
        <v>251</v>
      </c>
      <c r="B8" s="31" t="n">
        <v>15</v>
      </c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26.25" hidden="false" customHeight="true" outlineLevel="0" collapsed="false">
      <c r="A10" s="5" t="s">
        <v>252</v>
      </c>
      <c r="B10" s="5" t="s">
        <v>253</v>
      </c>
      <c r="C10" s="5" t="s">
        <v>254</v>
      </c>
      <c r="D10" s="5" t="s">
        <v>255</v>
      </c>
      <c r="E10" s="5" t="s">
        <v>256</v>
      </c>
      <c r="F10" s="5" t="s">
        <v>257</v>
      </c>
      <c r="G10" s="5" t="s">
        <v>258</v>
      </c>
      <c r="H10" s="5" t="s">
        <v>259</v>
      </c>
      <c r="I10" s="5" t="s">
        <v>260</v>
      </c>
    </row>
    <row r="11" customFormat="false" ht="15" hidden="false" customHeight="true" outlineLevel="0" collapsed="false">
      <c r="A11" s="3" t="s">
        <v>261</v>
      </c>
      <c r="B11" s="19" t="n">
        <f aca="false">TCO!$B$15+0</f>
        <v>-21779600</v>
      </c>
      <c r="C11" s="19" t="n">
        <f aca="false">TCO!$C$15+0</f>
        <v>8110584.61538462</v>
      </c>
      <c r="D11" s="19" t="n">
        <f aca="false">TCO!$D$15+0</f>
        <v>8959200</v>
      </c>
      <c r="E11" s="19" t="n">
        <f aca="false">Онбординг!$B$13+0</f>
        <v>6810000</v>
      </c>
      <c r="F11" s="19" t="n">
        <f aca="false">Онбординг!$C$13+0</f>
        <v>13620000</v>
      </c>
      <c r="G11" s="19" t="n">
        <f aca="false">Онбординг!$D$13+0</f>
        <v>13620000</v>
      </c>
      <c r="H11" s="17" t="n">
        <f aca="false">IF(B11&gt;=0,"до 12",IF((B11+C11)&gt;=0,12+12*(-B11)/C11,IF((B11+C11+D11)&gt;=0,24+12*(-(B11+C11))/D11,IF(D11&gt;0,36+12*(-(B11+C11+D11))/D11,"не окупается"))))</f>
        <v>42.3083517072266</v>
      </c>
      <c r="I11" s="17" t="n">
        <f aca="false">IF((B11+E11)&gt;=0,"до 12",IF((B11+E11+C11+F11)&gt;=0,12+12*(-(B11+E11))/(C11+F11),IF((B11+E11+C11+F11+D11+G11)&gt;=0,24+12*(-(B11+E11+C11+F11))/(D11+G11),IF((D11+G11)&gt;0,36+12*(-(B11+E11+C11+F11+D11+G11))/(D11+G11),"не окупается"))))</f>
        <v>20.2664688124784</v>
      </c>
    </row>
    <row r="12" customFormat="false" ht="15" hidden="false" customHeight="true" outlineLevel="0" collapsed="false">
      <c r="A12" s="3" t="s">
        <v>262</v>
      </c>
      <c r="B12" s="19" t="n">
        <f aca="false">TCO!$B$15+-$B$4*Допущения!$B$10*12</f>
        <v>-23579600</v>
      </c>
      <c r="C12" s="19" t="n">
        <f aca="false">TCO!$C$15+-$B$4*Допущения!$B$10*12+$B$4*Допущения!$B$10/(1+Допущения!$B$38)*Допущения!$B$37</f>
        <v>6541353.84615385</v>
      </c>
      <c r="D12" s="19" t="n">
        <f aca="false">TCO!$D$15+-$B$4*Допущения!$B$10*12</f>
        <v>7159200</v>
      </c>
      <c r="E12" s="19" t="n">
        <f aca="false">Онбординг!$B$13+0</f>
        <v>6810000</v>
      </c>
      <c r="F12" s="19" t="n">
        <f aca="false">Онбординг!$C$13+0</f>
        <v>13620000</v>
      </c>
      <c r="G12" s="19" t="n">
        <f aca="false">Онбординг!$D$13+0</f>
        <v>13620000</v>
      </c>
      <c r="H12" s="17" t="n">
        <f aca="false">IF(B12&gt;=0,"до 12",IF((B12+C12)&gt;=0,12+12*(-B12)/C12,IF((B12+C12+D12)&gt;=0,24+12*(-(B12+C12))/D12,IF(D12&gt;0,36+12*(-(B12+C12+D12))/D12,"не окупается"))))</f>
        <v>52.558910750664</v>
      </c>
      <c r="I12" s="17" t="n">
        <f aca="false">IF((B12+E12)&gt;=0,"до 12",IF((B12+E12+C12+F12)&gt;=0,12+12*(-(B12+E12))/(C12+F12),IF((B12+E12+C12+F12+D12+G12)&gt;=0,24+12*(-(B12+E12+C12+F12))/(D12+G12),IF((D12+G12)&gt;0,36+12*(-(B12+E12+C12+F12+D12+G12))/(D12+G12),"не окупается"))))</f>
        <v>21.9812344714335</v>
      </c>
    </row>
    <row r="13" customFormat="false" ht="15" hidden="false" customHeight="true" outlineLevel="0" collapsed="false">
      <c r="A13" s="3" t="s">
        <v>263</v>
      </c>
      <c r="B13" s="19" t="n">
        <f aca="false">TCO!$B$15+-$B$5*(Допущения!$B$9*Допущения!$B$28*12*Допущения!$B$6*Раскатка!$D$9)</f>
        <v>-22319600</v>
      </c>
      <c r="C13" s="19" t="n">
        <f aca="false">TCO!$C$15+-$B$5*(Допущения!$B$9*Допущения!$B$28*12*Допущения!$B$6)</f>
        <v>6310584.61538462</v>
      </c>
      <c r="D13" s="19" t="n">
        <f aca="false">TCO!$D$15+-$B$5*(Допущения!$B$9*Допущения!$B$28*12*Допущения!$B$6)</f>
        <v>7159200</v>
      </c>
      <c r="E13" s="19" t="n">
        <f aca="false">Онбординг!$B$13+0</f>
        <v>6810000</v>
      </c>
      <c r="F13" s="19" t="n">
        <f aca="false">Онбординг!$C$13+0</f>
        <v>13620000</v>
      </c>
      <c r="G13" s="19" t="n">
        <f aca="false">Онбординг!$D$13+0</f>
        <v>13620000</v>
      </c>
      <c r="H13" s="17" t="n">
        <f aca="false">IF(B13&gt;=0,"до 12",IF((B13+C13)&gt;=0,12+12*(-B13)/C13,IF((B13+C13+D13)&gt;=0,24+12*(-(B13+C13))/D13,IF(D13&gt;0,36+12*(-(B13+C13+D13))/D13,"не окупается"))))</f>
        <v>50.8337502256376</v>
      </c>
      <c r="I13" s="17" t="n">
        <f aca="false">IF((B13+E13)&gt;=0,"до 12",IF((B13+E13+C13+F13)&gt;=0,12+12*(-(B13+E13))/(C13+F13),IF((B13+E13+C13+F13+D13+G13)&gt;=0,24+12*(-(B13+E13+C13+F13))/(D13+G13),IF((D13+G13)&gt;0,36+12*(-(B13+E13+C13+F13+D13+G13))/(D13+G13),"не окупается"))))</f>
        <v>21.3381706353127</v>
      </c>
    </row>
    <row r="14" customFormat="false" ht="15" hidden="false" customHeight="true" outlineLevel="0" collapsed="false">
      <c r="A14" s="3" t="s">
        <v>264</v>
      </c>
      <c r="B14" s="19" t="n">
        <f aca="false">TCO!$B$15+$B$5*(Допущения!$B$9*Допущения!$B$28*12*Допущения!$B$6*Раскатка!$D$9)</f>
        <v>-21239600</v>
      </c>
      <c r="C14" s="19" t="n">
        <f aca="false">TCO!$C$15+$B$5*(Допущения!$B$9*Допущения!$B$28*12*Допущения!$B$6)</f>
        <v>9910584.61538462</v>
      </c>
      <c r="D14" s="19" t="n">
        <f aca="false">TCO!$D$15+$B$5*(Допущения!$B$9*Допущения!$B$28*12*Допущения!$B$6)</f>
        <v>10759200</v>
      </c>
      <c r="E14" s="19" t="n">
        <f aca="false">Онбординг!$B$13+0</f>
        <v>6810000</v>
      </c>
      <c r="F14" s="19" t="n">
        <f aca="false">Онбординг!$C$13+0</f>
        <v>13620000</v>
      </c>
      <c r="G14" s="19" t="n">
        <f aca="false">Онбординг!$D$13+0</f>
        <v>13620000</v>
      </c>
      <c r="H14" s="17" t="n">
        <f aca="false">IF(B14&gt;=0,"до 12",IF((B14+C14)&gt;=0,12+12*(-B14)/C14,IF((B14+C14+D14)&gt;=0,24+12*(-(B14+C14))/D14,IF(D14&gt;0,36+12*(-(B14+C14+D14))/D14,"не окупается"))))</f>
        <v>36.6355290928122</v>
      </c>
      <c r="I14" s="17" t="n">
        <f aca="false">IF((B14+E14)&gt;=0,"до 12",IF((B14+E14+C14+F14)&gt;=0,12+12*(-(B14+E14))/(C14+F14),IF((B14+E14+C14+F14+D14+G14)&gt;=0,24+12*(-(B14+E14+C14+F14))/(D14+G14),IF((D14+G14)&gt;0,36+12*(-(B14+E14+C14+F14+D14+G14))/(D14+G14),"не окупается"))))</f>
        <v>19.3587291956524</v>
      </c>
    </row>
    <row r="15" customFormat="false" ht="15" hidden="false" customHeight="true" outlineLevel="0" collapsed="false">
      <c r="A15" s="3" t="s">
        <v>265</v>
      </c>
      <c r="B15" s="19" t="n">
        <f aca="false">TCO!$B$15+0</f>
        <v>-21779600</v>
      </c>
      <c r="C15" s="19" t="n">
        <f aca="false">TCO!$C$15+0</f>
        <v>8110584.61538462</v>
      </c>
      <c r="D15" s="19" t="n">
        <f aca="false">TCO!$D$15+0</f>
        <v>8959200</v>
      </c>
      <c r="E15" s="19" t="n">
        <f aca="false">Онбординг!$B$13+-$B$6*(Допущения!$B$44*Допущения!$B$45*Допущения!$B$43*Допущения!$B$48)*Онбординг!$B$9*Допущения!$B$49</f>
        <v>4785000</v>
      </c>
      <c r="F15" s="19" t="n">
        <f aca="false">Онбординг!$C$13+-$B$6*(Допущения!$B$44*Допущения!$B$45*Допущения!$B$43*Допущения!$B$48)*Онбординг!$B$9*1</f>
        <v>9570000</v>
      </c>
      <c r="G15" s="19" t="n">
        <f aca="false">Онбординг!$D$13+-$B$6*(Допущения!$B$44*Допущения!$B$45*Допущения!$B$43*Допущения!$B$48)*Онбординг!$B$9*1</f>
        <v>9570000</v>
      </c>
      <c r="H15" s="17" t="n">
        <f aca="false">IF(B15&gt;=0,"до 12",IF((B15+C15)&gt;=0,12+12*(-B15)/C15,IF((B15+C15+D15)&gt;=0,24+12*(-(B15+C15))/D15,IF(D15&gt;0,36+12*(-(B15+C15+D15))/D15,"не окупается"))))</f>
        <v>42.3083517072266</v>
      </c>
      <c r="I15" s="17" t="n">
        <f aca="false">IF((B15+E15)&gt;=0,"до 12",IF((B15+E15+C15+F15)&gt;=0,12+12*(-(B15+E15))/(C15+F15),IF((B15+E15+C15+F15+D15+G15)&gt;=0,24+12*(-(B15+E15+C15+F15))/(D15+G15),IF((D15+G15)&gt;0,36+12*(-(B15+E15+C15+F15+D15+G15))/(D15+G15),"не окупается"))))</f>
        <v>23.5344149775764</v>
      </c>
    </row>
    <row r="16" customFormat="false" ht="15" hidden="false" customHeight="true" outlineLevel="0" collapsed="false">
      <c r="A16" s="3" t="s">
        <v>266</v>
      </c>
      <c r="B16" s="19" t="n">
        <f aca="false">TCO!$B$15+0</f>
        <v>-21779600</v>
      </c>
      <c r="C16" s="19" t="n">
        <f aca="false">TCO!$C$15+0</f>
        <v>8110584.61538462</v>
      </c>
      <c r="D16" s="19" t="n">
        <f aca="false">TCO!$D$15+0</f>
        <v>8959200</v>
      </c>
      <c r="E16" s="19" t="n">
        <f aca="false">Онбординг!$B$13+($B$7-Допущения!$B$43)*Допущения!$B$44*Допущения!$B$45*Допущения!$B$48*Онбординг!$B$9*Допущения!$B$49</f>
        <v>5460000</v>
      </c>
      <c r="F16" s="19" t="n">
        <f aca="false">Онбординг!$C$13+($B$7-Допущения!$B$43)*Допущения!$B$44*Допущения!$B$45*Допущения!$B$48*Онбординг!$B$9*1</f>
        <v>10920000</v>
      </c>
      <c r="G16" s="19" t="n">
        <f aca="false">Онбординг!$D$13+($B$7-Допущения!$B$43)*Допущения!$B$44*Допущения!$B$45*Допущения!$B$48*Онбординг!$B$9*1</f>
        <v>10920000</v>
      </c>
      <c r="H16" s="17" t="n">
        <f aca="false">IF(B16&gt;=0,"до 12",IF((B16+C16)&gt;=0,12+12*(-B16)/C16,IF((B16+C16+D16)&gt;=0,24+12*(-(B16+C16))/D16,IF(D16&gt;0,36+12*(-(B16+C16+D16))/D16,"не окупается"))))</f>
        <v>42.3083517072266</v>
      </c>
      <c r="I16" s="17" t="n">
        <f aca="false">IF((B16+E16)&gt;=0,"до 12",IF((B16+E16+C16+F16)&gt;=0,12+12*(-(B16+E16))/(C16+F16),IF((B16+E16+C16+F16+D16+G16)&gt;=0,24+12*(-(B16+E16+C16+F16))/(D16+G16),IF((D16+G16)&gt;0,36+12*(-(B16+E16+C16+F16+D16+G16))/(D16+G16),"не окупается"))))</f>
        <v>22.2905509188448</v>
      </c>
    </row>
    <row r="17" customFormat="false" ht="15" hidden="false" customHeight="true" outlineLevel="0" collapsed="false">
      <c r="A17" s="3" t="s">
        <v>267</v>
      </c>
      <c r="B17" s="19" t="n">
        <f aca="false">TCO!$B$15+0</f>
        <v>-21779600</v>
      </c>
      <c r="C17" s="19" t="n">
        <f aca="false">TCO!$C$15+0</f>
        <v>8110584.61538462</v>
      </c>
      <c r="D17" s="19" t="n">
        <f aca="false">TCO!$D$15+0</f>
        <v>8959200</v>
      </c>
      <c r="E17" s="19" t="n">
        <f aca="false">Онбординг!$B$13+-(Допущения!$B$44*Допущения!$B$45*Допущения!$B$43*Допущения!$B$48)*Онбординг!$B$9*Допущения!$B$49</f>
        <v>60000</v>
      </c>
      <c r="F17" s="19" t="n">
        <f aca="false">Онбординг!$C$13+-(Допущения!$B$44*Допущения!$B$45*Допущения!$B$43*Допущения!$B$48)*Онбординг!$B$9*1</f>
        <v>120000</v>
      </c>
      <c r="G17" s="19" t="n">
        <f aca="false">Онбординг!$D$13+-(Допущения!$B$44*Допущения!$B$45*Допущения!$B$43*Допущения!$B$48)*Онбординг!$B$9*1</f>
        <v>120000</v>
      </c>
      <c r="H17" s="17" t="n">
        <f aca="false">IF(B17&gt;=0,"до 12",IF((B17+C17)&gt;=0,12+12*(-B17)/C17,IF((B17+C17+D17)&gt;=0,24+12*(-(B17+C17))/D17,IF(D17&gt;0,36+12*(-(B17+C17+D17))/D17,"не окупается"))))</f>
        <v>42.3083517072266</v>
      </c>
      <c r="I17" s="17" t="n">
        <f aca="false">IF((B17+E17)&gt;=0,"до 12",IF((B17+E17+C17+F17)&gt;=0,12+12*(-(B17+E17))/(C17+F17),IF((B17+E17+C17+F17+D17+G17)&gt;=0,24+12*(-(B17+E17+C17+F17))/(D17+G17),IF((D17+G17)&gt;0,36+12*(-(B17+E17+C17+F17+D17+G17))/(D17+G17),"не окупается"))))</f>
        <v>41.828463368511</v>
      </c>
    </row>
    <row r="18" customFormat="false" ht="15" hidden="false" customHeight="true" outlineLevel="0" collapsed="false">
      <c r="A18" s="3" t="s">
        <v>268</v>
      </c>
      <c r="B18" s="19" t="n">
        <f aca="false">TCO!$B$15+0</f>
        <v>-21779600</v>
      </c>
      <c r="C18" s="19" t="n">
        <f aca="false">TCO!$C$15+0</f>
        <v>8110584.61538462</v>
      </c>
      <c r="D18" s="19" t="n">
        <f aca="false">TCO!$D$15+0</f>
        <v>8959200</v>
      </c>
      <c r="E18" s="19" t="n">
        <f aca="false">Онбординг!$B$13+($B$8-Допущения!$B$43)*Допущения!$B$44*Допущения!$B$45*Допущения!$B$48*Онбординг!$B$9*Допущения!$B$49</f>
        <v>8160000</v>
      </c>
      <c r="F18" s="19" t="n">
        <f aca="false">Онбординг!$C$13+($B$8-Допущения!$B$43)*Допущения!$B$44*Допущения!$B$45*Допущения!$B$48*Онбординг!$B$9*1</f>
        <v>16320000</v>
      </c>
      <c r="G18" s="19" t="n">
        <f aca="false">Онбординг!$D$13+($B$8-Допущения!$B$43)*Допущения!$B$44*Допущения!$B$45*Допущения!$B$48*Онбординг!$B$9*1</f>
        <v>16320000</v>
      </c>
      <c r="H18" s="17" t="n">
        <f aca="false">IF(B18&gt;=0,"до 12",IF((B18+C18)&gt;=0,12+12*(-B18)/C18,IF((B18+C18+D18)&gt;=0,24+12*(-(B18+C18))/D18,IF(D18&gt;0,36+12*(-(B18+C18+D18))/D18,"не окупается"))))</f>
        <v>42.3083517072266</v>
      </c>
      <c r="I18" s="17" t="n">
        <f aca="false">IF((B18+E18)&gt;=0,"до 12",IF((B18+E18+C18+F18)&gt;=0,12+12*(-(B18+E18))/(C18+F18),IF((B18+E18+C18+F18+D18+G18)&gt;=0,24+12*(-(B18+E18+C18+F18))/(D18+G18),IF((D18+G18)&gt;0,36+12*(-(B18+E18+C18+F18+D18+G18))/(D18+G18),"не окупается"))))</f>
        <v>18.6897785121802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2026-09-25T14:49:59Z</dcterms:created>
  <dc:creator>openpyxl</dc:creator>
  <dc:description/>
  <dc:language>en-US</dc:language>
  <cp:lastModifiedBy/>
  <dcterms:modified xsi:type="dcterms:W3CDTF">2026-09-25T22:12:00Z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